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Страховой" sheetId="2" r:id="rId1"/>
    <sheet name="востребовынные страховых" sheetId="3" r:id="rId2"/>
  </sheets>
  <externalReferences>
    <externalReference r:id="rId3"/>
    <externalReference r:id="rId4"/>
  </externalReferences>
  <definedNames>
    <definedName name="_xlnm._FilterDatabase" localSheetId="1" hidden="1">'востребовынные страховых'!$A$22:$WVM$111</definedName>
    <definedName name="_xlnm._FilterDatabase" localSheetId="0" hidden="1">Страховой!$A$16:$E$1811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70" i="2" l="1"/>
  <c r="A1271" i="2" s="1"/>
  <c r="A25" i="3" l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81" i="3" s="1"/>
  <c r="A83" i="3" s="1"/>
  <c r="A85" i="3" s="1"/>
  <c r="A87" i="3" s="1"/>
  <c r="A89" i="3" s="1"/>
  <c r="A91" i="3" s="1"/>
  <c r="A93" i="3" s="1"/>
  <c r="A95" i="3" s="1"/>
  <c r="A97" i="3" s="1"/>
  <c r="A99" i="3" s="1"/>
  <c r="A101" i="3" s="1"/>
  <c r="A103" i="3" s="1"/>
  <c r="A105" i="3" s="1"/>
  <c r="A107" i="3" s="1"/>
  <c r="A109" i="3" s="1"/>
  <c r="A111" i="3" s="1"/>
  <c r="A113" i="3" s="1"/>
  <c r="A115" i="3" s="1"/>
  <c r="A117" i="3" s="1"/>
  <c r="A119" i="3" s="1"/>
  <c r="A121" i="3" s="1"/>
  <c r="A123" i="3" s="1"/>
  <c r="A125" i="3" s="1"/>
  <c r="A127" i="3" s="1"/>
  <c r="A129" i="3" s="1"/>
  <c r="A131" i="3" s="1"/>
  <c r="A133" i="3" s="1"/>
  <c r="A135" i="3" s="1"/>
  <c r="A137" i="3" s="1"/>
  <c r="A139" i="3" s="1"/>
  <c r="A141" i="3" s="1"/>
  <c r="A143" i="3" s="1"/>
  <c r="A145" i="3" s="1"/>
  <c r="A147" i="3" s="1"/>
  <c r="A149" i="3" l="1"/>
  <c r="A150" i="3" s="1"/>
  <c r="A151" i="3" s="1"/>
  <c r="C1615" i="2" l="1"/>
  <c r="C973" i="2"/>
  <c r="B973" i="2"/>
  <c r="C972" i="2"/>
  <c r="B972" i="2"/>
  <c r="C971" i="2"/>
  <c r="B971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80" i="2" s="1"/>
  <c r="A282" i="2" s="1"/>
  <c r="A283" i="2" l="1"/>
  <c r="A284" i="2" s="1"/>
  <c r="A285" i="2" s="1"/>
  <c r="A287" i="2" s="1"/>
  <c r="A288" i="2" s="1"/>
  <c r="A289" i="2" s="1"/>
  <c r="A290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5" i="2" s="1"/>
  <c r="A376" i="2" s="1"/>
  <c r="A378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1" i="2" s="1"/>
  <c r="A482" i="2" s="1"/>
  <c r="A483" i="2" s="1"/>
  <c r="A484" i="2" s="1"/>
  <c r="A486" i="2" s="1"/>
  <c r="A487" i="2" s="1"/>
  <c r="A488" i="2" s="1"/>
  <c r="A489" i="2" s="1"/>
  <c r="A490" i="2" s="1"/>
  <c r="A491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5" i="2" s="1"/>
  <c r="A546" i="2" s="1"/>
  <c r="A547" i="2" s="1"/>
  <c r="A548" i="2" s="1"/>
  <c r="A549" i="2" s="1"/>
  <c r="A550" i="2" s="1"/>
  <c r="A551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700" i="2" s="1"/>
  <c r="A701" i="2" s="1"/>
  <c r="A702" i="2" s="1"/>
  <c r="A703" i="2" s="1"/>
  <c r="A704" i="2" s="1"/>
  <c r="A705" i="2" s="1"/>
  <c r="A707" i="2" s="1"/>
  <c r="A708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4" i="2" s="1"/>
  <c r="A915" i="2" s="1"/>
  <c r="A916" i="2" s="1"/>
  <c r="A917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2" i="2" s="1"/>
  <c r="A1133" i="2" s="1"/>
  <c r="A1134" i="2" s="1"/>
  <c r="A1135" i="2" s="1"/>
  <c r="A1136" i="2" s="1"/>
  <c r="A1137" i="2" s="1"/>
  <c r="A1138" i="2" s="1"/>
  <c r="A1140" i="2" s="1"/>
  <c r="A1141" i="2" s="1"/>
  <c r="A1143" i="2" s="1"/>
  <c r="A1144" i="2" s="1"/>
  <c r="A1146" i="2" s="1"/>
  <c r="A1147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l="1"/>
  <c r="A1163" i="2" s="1"/>
  <c r="A1165" i="2" s="1"/>
  <c r="A1167" i="2" s="1"/>
  <c r="A1168" i="2" s="1"/>
  <c r="A1169" i="2" s="1"/>
  <c r="A1170" i="2" s="1"/>
  <c r="A1171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1" i="2" s="1"/>
  <c r="A1202" i="2" s="1"/>
  <c r="A1203" i="2" s="1"/>
  <c r="A1204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8" i="2" s="1"/>
  <c r="A1219" i="2" s="1"/>
  <c r="A1220" i="2" s="1"/>
  <c r="A1221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l="1"/>
  <c r="A1267" i="2" s="1"/>
  <c r="A1268" i="2" s="1"/>
  <c r="A1269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2" i="2" s="1"/>
  <c r="A1683" i="2" s="1"/>
  <c r="A1684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1" i="2" s="1"/>
  <c r="A1702" i="2" s="1"/>
  <c r="A1703" i="2" s="1"/>
  <c r="A1704" i="2" s="1"/>
  <c r="A1705" i="2" s="1"/>
  <c r="A1706" i="2" s="1"/>
  <c r="A1707" i="2" s="1"/>
  <c r="A1709" i="2" s="1"/>
  <c r="A1710" i="2" s="1"/>
  <c r="A1711" i="2" s="1"/>
  <c r="A1712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9" i="2" s="1"/>
  <c r="A1800" i="2" s="1"/>
  <c r="A1801" i="2" s="1"/>
  <c r="A1802" i="2" s="1"/>
  <c r="A1803" i="2" s="1"/>
  <c r="A1804" i="2" s="1"/>
  <c r="A1805" i="2" s="1"/>
  <c r="A1806" i="2" s="1"/>
  <c r="A1808" i="2" s="1"/>
  <c r="A1809" i="2" s="1"/>
  <c r="A1810" i="2" s="1"/>
  <c r="A1811" i="2" s="1"/>
</calcChain>
</file>

<file path=xl/comments1.xml><?xml version="1.0" encoding="utf-8"?>
<comments xmlns="http://schemas.openxmlformats.org/spreadsheetml/2006/main">
  <authors>
    <author>Автор</author>
  </authors>
  <commentList>
    <comment ref="B160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(у нас похожее по прейскуранту Удаление придатков матки  (трубы яичника, лапаратомная))</t>
        </r>
      </text>
    </comment>
  </commentList>
</comments>
</file>

<file path=xl/sharedStrings.xml><?xml version="1.0" encoding="utf-8"?>
<sst xmlns="http://schemas.openxmlformats.org/spreadsheetml/2006/main" count="5567" uniqueCount="3236">
  <si>
    <t>к приказу №________________________</t>
  </si>
  <si>
    <t xml:space="preserve">    "Утверждаю"</t>
  </si>
  <si>
    <t xml:space="preserve">Председатель правления </t>
  </si>
  <si>
    <t>_____________________А.К.Байгенжин</t>
  </si>
  <si>
    <t xml:space="preserve">    "Согласовано"</t>
  </si>
  <si>
    <t xml:space="preserve">Заместитель председателя </t>
  </si>
  <si>
    <t>правления по медицинской деятельности</t>
  </si>
  <si>
    <t>_____________________Б.Г.Купенов</t>
  </si>
  <si>
    <t>ПРЕЙСКУРАНТ</t>
  </si>
  <si>
    <t>№ п/п</t>
  </si>
  <si>
    <t>Наименование услуги</t>
  </si>
  <si>
    <t>Код по тарификатору, МКБ-9</t>
  </si>
  <si>
    <t>ед.  измерения</t>
  </si>
  <si>
    <t>ПРИЕМ ВРАЧА</t>
  </si>
  <si>
    <t>A02.020.000.1</t>
  </si>
  <si>
    <t>прием</t>
  </si>
  <si>
    <t>Консультация врача: Аллерголог КМН</t>
  </si>
  <si>
    <t>A02.020.000.2</t>
  </si>
  <si>
    <t>Консультация врача: Аллерголог ДМН</t>
  </si>
  <si>
    <t>A02.020.000.3</t>
  </si>
  <si>
    <t>Консультация врача: Андролог</t>
  </si>
  <si>
    <t>A02.027.000.1</t>
  </si>
  <si>
    <t>Консультация врача: Андролог КМН</t>
  </si>
  <si>
    <t>A02.027.000.2</t>
  </si>
  <si>
    <t>Консультация врача: Андролог ДМН</t>
  </si>
  <si>
    <t>A02.027.000.3</t>
  </si>
  <si>
    <t>Консультация врача: Аритмолог</t>
  </si>
  <si>
    <t>Консультация врача: Аритмолог КМН</t>
  </si>
  <si>
    <t>Консультация врача: Аритмолог ДМН</t>
  </si>
  <si>
    <t>Консультация врача: Анестезиолог-реаниматолог</t>
  </si>
  <si>
    <t>A02.043.000.1</t>
  </si>
  <si>
    <t>Консультация врача: Анестезиолог-реаниматолог КМН</t>
  </si>
  <si>
    <t>A02.043.000.2</t>
  </si>
  <si>
    <t>Консультация врача: Анестезиолог-реаниматолог ДМН</t>
  </si>
  <si>
    <t>A02.043.000.3</t>
  </si>
  <si>
    <t>Консультация врача: Гастроэнтеролог</t>
  </si>
  <si>
    <t>A02.021.000.3</t>
  </si>
  <si>
    <t>Консультация врача: Гастроэнтеролог КМН</t>
  </si>
  <si>
    <t>A02.021.000.4</t>
  </si>
  <si>
    <t>Консультация врача: Гастроэнтеролог ДМН</t>
  </si>
  <si>
    <t>A02.021.000.5</t>
  </si>
  <si>
    <t>Консультация врача: Гематолог</t>
  </si>
  <si>
    <t>A02.024.000.1</t>
  </si>
  <si>
    <t>Консультация врача: Гематолог КМН</t>
  </si>
  <si>
    <t>A02.024.000.2</t>
  </si>
  <si>
    <t>Консультация врача: Гематолог ДМН</t>
  </si>
  <si>
    <t>A02.024.000.3</t>
  </si>
  <si>
    <t>Консультация врача: Гепатолог</t>
  </si>
  <si>
    <t>A02.022.000.9</t>
  </si>
  <si>
    <t>Консультация врача: Гепатолог КМН</t>
  </si>
  <si>
    <t>A02.022.000.10</t>
  </si>
  <si>
    <t>Консультация врача: Гепатолог ДМН</t>
  </si>
  <si>
    <t>A02.022.000.11</t>
  </si>
  <si>
    <t>Консультация врача: Гинеколог</t>
  </si>
  <si>
    <t>A02.004.000.1</t>
  </si>
  <si>
    <t>Консультация врача: Гинеколог  КМН</t>
  </si>
  <si>
    <t>A02.004.000.2</t>
  </si>
  <si>
    <t>Консультация врача: Гинеколог ДМН</t>
  </si>
  <si>
    <t>A02.004.000.3</t>
  </si>
  <si>
    <t>Консультация врача: Дерматовенеролог</t>
  </si>
  <si>
    <t>A02.029.000.1</t>
  </si>
  <si>
    <t>Консультация врача: Дерматовенеролог КМН</t>
  </si>
  <si>
    <t>A02.029.000.2</t>
  </si>
  <si>
    <t>Консультация врача: Дерматовенеролог ДМН</t>
  </si>
  <si>
    <t>A02.029.000.3</t>
  </si>
  <si>
    <t>Консультация врача: Иммунолог</t>
  </si>
  <si>
    <t>A02.030.000.1</t>
  </si>
  <si>
    <t>Консультация врача: Иммунолог КМН</t>
  </si>
  <si>
    <t>A02.030.000.2</t>
  </si>
  <si>
    <t>Консультация врача: Иммунолог ДМН</t>
  </si>
  <si>
    <t>A02.030.000.3</t>
  </si>
  <si>
    <t>Консультация врача: Интервенционный кардиолог</t>
  </si>
  <si>
    <t>A02.068.000.1</t>
  </si>
  <si>
    <t>Консультация врача: Интервенционный кардиолог КМН</t>
  </si>
  <si>
    <t>A02.068.000.2</t>
  </si>
  <si>
    <t>Консультация врача: Интервенционный кардиолог ДМН</t>
  </si>
  <si>
    <t>A02.068.000.3</t>
  </si>
  <si>
    <t>Консультация врача: Инфекционист</t>
  </si>
  <si>
    <t>A02.019.000.1</t>
  </si>
  <si>
    <t>Консультация врача: Инфекционист КМН</t>
  </si>
  <si>
    <t>A02.019.000.2</t>
  </si>
  <si>
    <t>Консультация врача: Инфекционист ДМН</t>
  </si>
  <si>
    <t>A02.019.000.3</t>
  </si>
  <si>
    <t>Консультация врача: Кардиолог</t>
  </si>
  <si>
    <t>A02.015.000.5</t>
  </si>
  <si>
    <t>Консультация врача: Кардиолог КМН</t>
  </si>
  <si>
    <t>A02.015.000.6</t>
  </si>
  <si>
    <t>Консультация врача: Кардиолог ДМН</t>
  </si>
  <si>
    <t>A02.015.000.7</t>
  </si>
  <si>
    <t>Консультация врача: Кардиохирург</t>
  </si>
  <si>
    <t>A02.034.000.1</t>
  </si>
  <si>
    <t>Консультация врача: Кардиохирург КМН</t>
  </si>
  <si>
    <t>A02.034.000.2</t>
  </si>
  <si>
    <t>Консультация врача: Кардиохирург ДМН</t>
  </si>
  <si>
    <t>A02.034.000.3</t>
  </si>
  <si>
    <t>Консультация кардиохирурга*</t>
  </si>
  <si>
    <t>A02.034.000</t>
  </si>
  <si>
    <t xml:space="preserve">Консультация врача: Лазер-офтальмолог </t>
  </si>
  <si>
    <t>A02.023.000.11</t>
  </si>
  <si>
    <t>Консультация врача: Лазер - офтальмолог КМН</t>
  </si>
  <si>
    <t>A02.023.000.12</t>
  </si>
  <si>
    <t>Консультация врача: Лазер - офтальмолог ДМН</t>
  </si>
  <si>
    <t>A02.023.000.13</t>
  </si>
  <si>
    <t>Консультация врача: Маммолог</t>
  </si>
  <si>
    <t>A02.052.000.1</t>
  </si>
  <si>
    <t>Консультация врача: Маммолог КМН</t>
  </si>
  <si>
    <t>A02.052.000.2</t>
  </si>
  <si>
    <t>Консультация врача: Маммолог ДМН</t>
  </si>
  <si>
    <t>A02.052.000.3</t>
  </si>
  <si>
    <t>Консультация врача: Невропатолог</t>
  </si>
  <si>
    <t>A02.018.000.1</t>
  </si>
  <si>
    <t>Консультация врача: Невропатолог КМН</t>
  </si>
  <si>
    <t>A02.018.000.2</t>
  </si>
  <si>
    <t>Консультация врача: Невропатолог ДМН</t>
  </si>
  <si>
    <t>A02.018.000.3</t>
  </si>
  <si>
    <t>Консультация врача: Нейрохирург</t>
  </si>
  <si>
    <t>A02.033.000.1</t>
  </si>
  <si>
    <t>Консультация врача: Нейрохирург КМН</t>
  </si>
  <si>
    <t>A02.033.000.2</t>
  </si>
  <si>
    <t>Консультация врача: Нейрохирург ДМН</t>
  </si>
  <si>
    <t>A02.033.000.3</t>
  </si>
  <si>
    <t>Консультация врача: Нефролог</t>
  </si>
  <si>
    <t>A02.025.000.1</t>
  </si>
  <si>
    <t>Консультация врача: Нефролог КМН</t>
  </si>
  <si>
    <t>A02.025.000.2</t>
  </si>
  <si>
    <t>Консультация врача: Нефролог ДМН</t>
  </si>
  <si>
    <t>A02.025.000.3</t>
  </si>
  <si>
    <t>Консультация врача: Оториноларинголог</t>
  </si>
  <si>
    <t>A02.014.000.2</t>
  </si>
  <si>
    <t>Консультация врача: Оториноларинголог КМН</t>
  </si>
  <si>
    <t>A02.014.000.3</t>
  </si>
  <si>
    <t>Консультация врача: Оториноларинголог ДМН</t>
  </si>
  <si>
    <t>A02.014.000.4</t>
  </si>
  <si>
    <t>Консультация врача: Офтальмолог</t>
  </si>
  <si>
    <t>A02.023.000.8</t>
  </si>
  <si>
    <t>Консультация врача: Офтальмолог КМН</t>
  </si>
  <si>
    <t>A02.023.000.9</t>
  </si>
  <si>
    <t>Консультация врача: Офтальмолог ДМН</t>
  </si>
  <si>
    <t>A02.023.000.10</t>
  </si>
  <si>
    <t>Консультация врача: Онколог</t>
  </si>
  <si>
    <t>A02.039.000.2</t>
  </si>
  <si>
    <t>Консультация врача: Онколог КМН</t>
  </si>
  <si>
    <t>A02.039.000.3</t>
  </si>
  <si>
    <t>Консультация врача: Онколог ДМН</t>
  </si>
  <si>
    <t>A02.039.000.4</t>
  </si>
  <si>
    <t>Консультация врача: Онколог-хирург</t>
  </si>
  <si>
    <t>A02.040.000.1</t>
  </si>
  <si>
    <t>Консультация врача: Онколог-хирург КМН</t>
  </si>
  <si>
    <t>A02.040.000.2</t>
  </si>
  <si>
    <t>Консультация врача: Онколог-хирург ДМН</t>
  </si>
  <si>
    <t>A02.040.000.3</t>
  </si>
  <si>
    <t>Консультация врача: Пластический хирург</t>
  </si>
  <si>
    <t>A02.013.000.3</t>
  </si>
  <si>
    <t>Консультация врача: Пластический хирург КМН</t>
  </si>
  <si>
    <t>A02.013.000.4</t>
  </si>
  <si>
    <t>Консультация врача: Пластический хирург ДМН</t>
  </si>
  <si>
    <t>A02.013.000.5</t>
  </si>
  <si>
    <t>Консультация врача: Психолог</t>
  </si>
  <si>
    <t>A02.005.000.1</t>
  </si>
  <si>
    <t>Консультация врача: Психолог КМН</t>
  </si>
  <si>
    <t>A02.005.000.2</t>
  </si>
  <si>
    <t>Консультация врача: Психолог ДМН</t>
  </si>
  <si>
    <t>A02.005.000.3</t>
  </si>
  <si>
    <t>Консультация врача: Проктолог КМН</t>
  </si>
  <si>
    <t>A02.042.000.2</t>
  </si>
  <si>
    <t>Консультация врача: Проктолог ДМН</t>
  </si>
  <si>
    <t>A02.042.000.3</t>
  </si>
  <si>
    <t>Консультация врача: Пульмонолог</t>
  </si>
  <si>
    <t>A02.016.000.1</t>
  </si>
  <si>
    <t>Консультация врача: Пульмонолог КМН</t>
  </si>
  <si>
    <t>A02.016.000.2</t>
  </si>
  <si>
    <t>Консультация врача: Пульмонолог ДМН</t>
  </si>
  <si>
    <t>A02.016.000.3</t>
  </si>
  <si>
    <t>Консультация врача: По лечебной физкультуре и спорту</t>
  </si>
  <si>
    <t>A02.069.000.1</t>
  </si>
  <si>
    <t>Консультация врача: По лечебной физкультуре и спорту КМН</t>
  </si>
  <si>
    <t>A02.069.000.2</t>
  </si>
  <si>
    <t>Консультация врача: По лечебной физкультуре и спорту ДМН</t>
  </si>
  <si>
    <t>A02.069.000.3</t>
  </si>
  <si>
    <t>Консультация врача: Ревматолог</t>
  </si>
  <si>
    <t>A02.017.000.4</t>
  </si>
  <si>
    <t>Консультация врача: Ревматолог КМН</t>
  </si>
  <si>
    <t>A02.017.000.5</t>
  </si>
  <si>
    <t>Консультация врача: Ревматолог ДМН</t>
  </si>
  <si>
    <t>A02.017.000.6</t>
  </si>
  <si>
    <t>Консультация врача: Сомнолог</t>
  </si>
  <si>
    <t>A02.069.001.1</t>
  </si>
  <si>
    <t>Консультация врача: Сомнолог КМН</t>
  </si>
  <si>
    <t>A02.069.001.2</t>
  </si>
  <si>
    <t>Консультация врача: Сомнолог ДМН</t>
  </si>
  <si>
    <t>A02.069.001.3</t>
  </si>
  <si>
    <t>Консультация врача: Торакальный хирург</t>
  </si>
  <si>
    <t>A02.036.000.1</t>
  </si>
  <si>
    <t>Консультация врача: Торакальный хирург КМН</t>
  </si>
  <si>
    <t>A02.036.000.2</t>
  </si>
  <si>
    <t>Консультация врача: Торакальный хирург ДМН</t>
  </si>
  <si>
    <t>A02.036.000.3</t>
  </si>
  <si>
    <t xml:space="preserve">Консультация врача: Терапевт </t>
  </si>
  <si>
    <t>A02.001.000.18</t>
  </si>
  <si>
    <t>Консультация врача: Терапевт КМН</t>
  </si>
  <si>
    <t>A02.001.000.19</t>
  </si>
  <si>
    <t>Консультация врача: Терапевт ДМН</t>
  </si>
  <si>
    <t>A02.001.000.17</t>
  </si>
  <si>
    <t>Консультация врача: Уролог</t>
  </si>
  <si>
    <t>A02.026.000.2</t>
  </si>
  <si>
    <t>Консультация врача: Уролог КМН</t>
  </si>
  <si>
    <t>A02.026.000.3</t>
  </si>
  <si>
    <t>Консультация врача: Уролог ДМН</t>
  </si>
  <si>
    <t>A02.026.000.4</t>
  </si>
  <si>
    <t>Консультация врача: Физической и медицинской реабилитации</t>
  </si>
  <si>
    <t>A02.063.000.1</t>
  </si>
  <si>
    <t>Консультация врача: Физической и медицинской реабилитации КМН</t>
  </si>
  <si>
    <t>A02.063.000.2</t>
  </si>
  <si>
    <t>Консультация врача: Физической и медицинской реабилитации ДМН</t>
  </si>
  <si>
    <t>A02.063.000.3</t>
  </si>
  <si>
    <t>Консультация врача: Хирург</t>
  </si>
  <si>
    <t>A02.013.000.1</t>
  </si>
  <si>
    <t>Консультация врача: Хирург КМН</t>
  </si>
  <si>
    <t>A02.013.000.6</t>
  </si>
  <si>
    <t>Консультация врача: Хирург ДМН</t>
  </si>
  <si>
    <t>A02.013.000.2</t>
  </si>
  <si>
    <t>Консультация врача: Химиотерапевт</t>
  </si>
  <si>
    <t>A02.040.000.4</t>
  </si>
  <si>
    <t>Консультация врача: Химиотерапевт КМН</t>
  </si>
  <si>
    <t>A02.040.000.5</t>
  </si>
  <si>
    <t>Консультация врача: Химиотерапевт ДМН</t>
  </si>
  <si>
    <t>A02.040.000.6</t>
  </si>
  <si>
    <t>Консультация врача: Эндокринолог</t>
  </si>
  <si>
    <t>Консультация врача: Эндокринолог КМН</t>
  </si>
  <si>
    <t>Консультация врача: Эндокринолог ДМН</t>
  </si>
  <si>
    <t>Повторная консультация врача: Аллерголог КМН</t>
  </si>
  <si>
    <t>Повторная консультация врача: Аллерголог ДМН</t>
  </si>
  <si>
    <t>Повторная консультация врача: Андролог</t>
  </si>
  <si>
    <t>Повторная консультация врача: Андролог КМН</t>
  </si>
  <si>
    <t>Повторная консультация врача: Андролог ДМН</t>
  </si>
  <si>
    <t>Повторная консультация врача: Аритмолог</t>
  </si>
  <si>
    <t>Повторная консультация врача: Аритмолог КМН</t>
  </si>
  <si>
    <t>Повторная консультация врача: Аритмолог ДМН</t>
  </si>
  <si>
    <t>Повторная консультация врача: Анестезиолог-реаниматолог</t>
  </si>
  <si>
    <t>Повторная консультация врача: Анестезиолог-реаниматолог КМН</t>
  </si>
  <si>
    <t>Повторная консультация врача: Анестезиолог-реаниматолог ДМН</t>
  </si>
  <si>
    <t>Повторная консультация врача: Гастроэнтеролог</t>
  </si>
  <si>
    <t>Повторная консультация врача: Гастроэнтеролог КМН</t>
  </si>
  <si>
    <t>Повторная консультация врача: Гастроэнтеролог ДМН</t>
  </si>
  <si>
    <t>Повторная консультация врача: Гематолог</t>
  </si>
  <si>
    <t>Повторная консультация врача: Гематолог КМН</t>
  </si>
  <si>
    <t>Повторная консультация врача: Гематолог ДМН</t>
  </si>
  <si>
    <t>Повторная консультация врача: Гепатолог</t>
  </si>
  <si>
    <t>Повторная консультация врача: Гепатолог КМН</t>
  </si>
  <si>
    <t>Повторная консультация врача: Гепатолог ДМН</t>
  </si>
  <si>
    <t>Повторная консультация врача: Гинеколог</t>
  </si>
  <si>
    <t>Повторная консультация врача: Гинеколог КМН</t>
  </si>
  <si>
    <t>Повторная консультация врача: Гинеколог ДМН</t>
  </si>
  <si>
    <t>Повторная консультация врача: Дерматовенеролог</t>
  </si>
  <si>
    <t>Повторная консультация врача: Дерматовенеролог КМН</t>
  </si>
  <si>
    <t>Повторная консультация врача: Дерматовенеролог ДМН</t>
  </si>
  <si>
    <t>Повторная консультация врача: Инфекционист</t>
  </si>
  <si>
    <t>Повторная консультация врача: Иммунолог</t>
  </si>
  <si>
    <t>Повторная консультация врача: Иммунолог КМН</t>
  </si>
  <si>
    <t>Повторная консультация врача: Иммунолог ДМН</t>
  </si>
  <si>
    <t>Повторныйй осмотр врача: Инфекционист КМН</t>
  </si>
  <si>
    <t>Повторная консультация врача: Инфекционист ДМН</t>
  </si>
  <si>
    <t>Повторная консультация врача: Интервенционный кардиолог</t>
  </si>
  <si>
    <t>Повторная консультация врача: Интервенционный кардиолог КМН</t>
  </si>
  <si>
    <t>Повторная консультация врача: Интервенционный кардиолог ДМН</t>
  </si>
  <si>
    <t>Повторная консультация врача: Кардиолог</t>
  </si>
  <si>
    <t>Повторныйй осмотр врача: Кардиолог КМН</t>
  </si>
  <si>
    <t>Повторная консультация врача: Кардиолог ДМН</t>
  </si>
  <si>
    <t>Повторная консультация врача: Кардиохирург</t>
  </si>
  <si>
    <t>Повторная консультация врача: Кардиохирург КМН</t>
  </si>
  <si>
    <t>Повторная консультация врача: Кардиохирург ДМН</t>
  </si>
  <si>
    <t>Повторная консультация кардиохирурга*</t>
  </si>
  <si>
    <t>Повторная консультация врача: Лазер - офтальмолог</t>
  </si>
  <si>
    <t>Повторная консультация врача: Лазер - офтальмолог КМН</t>
  </si>
  <si>
    <t>Повторная консультация врача: Лазер - офтальмолог ДМН</t>
  </si>
  <si>
    <t>Повторная консультация врача: Маммолог</t>
  </si>
  <si>
    <t>Повторная консультация врача: Маммолог КМН</t>
  </si>
  <si>
    <t>Повторная консультация врача: Маммолог ДМН</t>
  </si>
  <si>
    <t>Повторная консультация врача: Невропатолог</t>
  </si>
  <si>
    <t>Повторная консультация врача: Невропатолог КМН</t>
  </si>
  <si>
    <t>Повторная консультация врача: Невропатолог ДМН</t>
  </si>
  <si>
    <t>Повторная консультация врача: Нейрохирург</t>
  </si>
  <si>
    <t>Повторная консультация врача: Нейрохирург КМН</t>
  </si>
  <si>
    <t>Повторная консультация врача: Нейрохирург ДМН</t>
  </si>
  <si>
    <t>Повторная консультация врача: Нефролог</t>
  </si>
  <si>
    <t>Повторная консультация врача: Нефролог КМН</t>
  </si>
  <si>
    <t>Повторная консультация врача: Нефролог ДМН</t>
  </si>
  <si>
    <t>Повторная консультация врача: Оториноларинголог</t>
  </si>
  <si>
    <t>Повторная консультация врача: Оториноларинголог КМН</t>
  </si>
  <si>
    <t>Повторная консультация врача: Оториноларинголог ДМН</t>
  </si>
  <si>
    <t>Повторная консультация врача: Офтальмолог</t>
  </si>
  <si>
    <t>Повторная консультация врача: Офтальмолог КМН</t>
  </si>
  <si>
    <t>Повторная консультация врача: Офтальмолог ДМН</t>
  </si>
  <si>
    <t>Повторная консультация врача: Психолог</t>
  </si>
  <si>
    <t>Повторная консультация врача: Психолог КМН</t>
  </si>
  <si>
    <t>Повторная консультация врача: Психолог ДМН</t>
  </si>
  <si>
    <t>Повторная консультация врача: Пульмонолог</t>
  </si>
  <si>
    <t>Повторная консультация врача: Пульмонолог КМН</t>
  </si>
  <si>
    <t>Повторная консультация врача: Пульмонолог ДМН</t>
  </si>
  <si>
    <t>Повторная консультация врача: Пластический хирург</t>
  </si>
  <si>
    <t>Повторная консультация врача: Пластический хирург КМН</t>
  </si>
  <si>
    <t>Повторная консультация врача: Пластический хирург ДМН</t>
  </si>
  <si>
    <t>Повторная консультация врача: Проктолог КМН</t>
  </si>
  <si>
    <t>Повторная консультация врача: Проктолог ДМН</t>
  </si>
  <si>
    <t>Повторная консультация врача: По лечебной физкультуре и спорту</t>
  </si>
  <si>
    <t>Повторная консультация врача: По лечебной физкультуре и спорту КМН</t>
  </si>
  <si>
    <t>Повторная консультация врача: По лечебной физкультуре и спорту ДМН</t>
  </si>
  <si>
    <t>Повторная консультация врача: Ревматолог</t>
  </si>
  <si>
    <t>Повторная консультация врача: Ревматолог КМН</t>
  </si>
  <si>
    <t>Повторная консультация врача: Ревматолог ДМН</t>
  </si>
  <si>
    <t>Повторная консультация врача: Онколог</t>
  </si>
  <si>
    <t>Повторная консультация врача: Онколог КМН</t>
  </si>
  <si>
    <t>Повторная консультация врача: Онколог ДМН</t>
  </si>
  <si>
    <t>Повторная консультация врача: Онколог-хирург</t>
  </si>
  <si>
    <t>Повторная консультация врача: Онколог-хирург КМН</t>
  </si>
  <si>
    <t>Повторная консультация врача: Онколог-хирург ДМН</t>
  </si>
  <si>
    <t>Повторная консультация врача: Сомнолог</t>
  </si>
  <si>
    <t>Повторная консультация врача: Сомнолог КМН</t>
  </si>
  <si>
    <t>Повторная консультация врача: Сомнолог ДМН</t>
  </si>
  <si>
    <t>Повторная консультация врача: Терапевт</t>
  </si>
  <si>
    <t>Повторная консультация врача: Терапевт КМН</t>
  </si>
  <si>
    <t>Повторная консультация врача: Терапевт ДМН</t>
  </si>
  <si>
    <t>Повторная консультация врача: Торакальный хирург</t>
  </si>
  <si>
    <t>Повторная консультация врача: Торакальный хирург КМН</t>
  </si>
  <si>
    <t>Повторная консультация врача: Торакальный хирург ДМН</t>
  </si>
  <si>
    <t>Повторная консультация врача: Физической и медицинской реабилитации</t>
  </si>
  <si>
    <t>Повторная консультация врача: Физической и медицинской реабилитации КМН</t>
  </si>
  <si>
    <t>Повторная консультация врача: Физической и медицинской реабилитации ДМН</t>
  </si>
  <si>
    <t>Повторная консультация врача: Уролог</t>
  </si>
  <si>
    <t>Повторная консультация врача: Уролог КМН</t>
  </si>
  <si>
    <t>Повторная консультация врача: Уролог ДМН</t>
  </si>
  <si>
    <t>Повторная консультация врача: Хирург</t>
  </si>
  <si>
    <t>Повторная консультация врача: Хирург КМН</t>
  </si>
  <si>
    <t>Повторная консультация врача: Хирург ДМН</t>
  </si>
  <si>
    <t>Повторная консультация врача: Химиотерапевт</t>
  </si>
  <si>
    <t>Повторная консультация врача: Химиотерапевт КМН</t>
  </si>
  <si>
    <t>Повторная консультация врача: Химиотерапевт ДМН</t>
  </si>
  <si>
    <t>Повторная консультация врача: Эндокринолог</t>
  </si>
  <si>
    <t>Повторная консультация врача: Эндокринолог КМН</t>
  </si>
  <si>
    <t>Повторная консультация врача: Эндокринолог ДМН</t>
  </si>
  <si>
    <t xml:space="preserve">Консультация руководителей отделов, групп,узких специалистов </t>
  </si>
  <si>
    <t>A02.001.000.13</t>
  </si>
  <si>
    <t xml:space="preserve">Повторная консультация руководителей отделов, групп, узких специалистов </t>
  </si>
  <si>
    <t>Консультация -консилиум из 3-4х врачей (офлайн)</t>
  </si>
  <si>
    <t>A02.001.000.20</t>
  </si>
  <si>
    <t>Повторная консультация консилиум из 3-4х врачей (офлайн)</t>
  </si>
  <si>
    <t>Консультация -консилиум из 3-4х врачей (онлайн)</t>
  </si>
  <si>
    <t>Повторная консультация консилиум из 3-4х врачей (онлайн)</t>
  </si>
  <si>
    <t>Консультация врача: Клинический фармаколог КМН</t>
  </si>
  <si>
    <t>A02.054.000</t>
  </si>
  <si>
    <t>Повторная консультация врача: Клинический фармаколог КМН</t>
  </si>
  <si>
    <t>АМБУЛАТОРНО-КОНСУЛЬТАТИВНЫЙ ЦЕНТР</t>
  </si>
  <si>
    <t>услуга</t>
  </si>
  <si>
    <t>РЕВМАТОЛОГ</t>
  </si>
  <si>
    <t>PRP-терапия (плазма насыщенная тромбоцитами)</t>
  </si>
  <si>
    <t>D83.960.505.2</t>
  </si>
  <si>
    <t>процедура</t>
  </si>
  <si>
    <t xml:space="preserve">Внутрисуставная инъекция в один сустав (без стоимости лекарств) </t>
  </si>
  <si>
    <t>D83.960.505.1</t>
  </si>
  <si>
    <t>ДЕРМАТОВЕНЕРОЛОГ</t>
  </si>
  <si>
    <t>Дерматоскопия с лампой Вуда</t>
  </si>
  <si>
    <t>D91.496.105.1</t>
  </si>
  <si>
    <t>Инстиляция в уретру</t>
  </si>
  <si>
    <t>D99.999.699.1</t>
  </si>
  <si>
    <t>Схема лечения ЗПП</t>
  </si>
  <si>
    <t>D99.590.020.2</t>
  </si>
  <si>
    <t>ОФТАЛЬМОЛОГ</t>
  </si>
  <si>
    <t>Узи глаз: А - Сканирование (1 глаз)</t>
  </si>
  <si>
    <t>C03.027.004</t>
  </si>
  <si>
    <t>Узи глаз: А - Сканирование (2 глаза)</t>
  </si>
  <si>
    <t>Узи глаз: В -  Сканирование (1 глаз)</t>
  </si>
  <si>
    <t>Узи глаз: В -  Сканирование (2 глаза)</t>
  </si>
  <si>
    <t>Авторефрактометрия (1 глаз)</t>
  </si>
  <si>
    <t>D95.027.324</t>
  </si>
  <si>
    <t>Авторефрактометрия (2 глаза)</t>
  </si>
  <si>
    <t>Бесконтактная тонометрия (1 глаза)</t>
  </si>
  <si>
    <t>D89.113.338</t>
  </si>
  <si>
    <t>Бесконтактная тонометрия (2 глаза)</t>
  </si>
  <si>
    <t>Биомикроскопия (1 глаз)</t>
  </si>
  <si>
    <t>D95.020.308</t>
  </si>
  <si>
    <t>Биомикроскопия (2 глаза)</t>
  </si>
  <si>
    <t>Взятие анализа ресниц на демодекоз (1 глаз)</t>
  </si>
  <si>
    <t>B01.091.001</t>
  </si>
  <si>
    <t>Взятие анализа ресниц на демодекоз (2 глаза)</t>
  </si>
  <si>
    <t>Взятие бак посев из коньюктивы и определение чувствительности к антибиотикам (1 глаз)</t>
  </si>
  <si>
    <t>B05.021.002</t>
  </si>
  <si>
    <t>Взятие бак посев из коньюктивыи определение чувствительности к антибиотикам (2 глаза)</t>
  </si>
  <si>
    <t>Гониоскопия (1 глаз)</t>
  </si>
  <si>
    <t>D12.230.301</t>
  </si>
  <si>
    <t>Гониоскопия (2 глаза)</t>
  </si>
  <si>
    <t>Иньекция под коньюктиву (1 глаз)</t>
  </si>
  <si>
    <t>B10.002</t>
  </si>
  <si>
    <t>Иньекция под коньюктиву (2 глаза)</t>
  </si>
  <si>
    <t>Иньекция ретропаробульбарная (1 глаз)</t>
  </si>
  <si>
    <t>Иньекция ретропаробульбарная (2 глаза)</t>
  </si>
  <si>
    <t>Исследование хроматического зрения (1 глаз)</t>
  </si>
  <si>
    <t>Исследование хроматического зрения (2 глаза)</t>
  </si>
  <si>
    <t>Иньекция в кожу височной области (1 глаз)</t>
  </si>
  <si>
    <t>Иньекция в кожу височной области (2 глаза)</t>
  </si>
  <si>
    <t>Кератометрия (1 глаз)</t>
  </si>
  <si>
    <t>D95.131.326</t>
  </si>
  <si>
    <t>Кератометрия (2 глаза)</t>
  </si>
  <si>
    <t>Массаж слезного мешка/век  (1 глаз)</t>
  </si>
  <si>
    <t>D96.512.311</t>
  </si>
  <si>
    <t>Массаж слезного мешка/век  (2 глаза)</t>
  </si>
  <si>
    <t>Офтальмоскопия (1 глаз)</t>
  </si>
  <si>
    <t>D16.210.302</t>
  </si>
  <si>
    <t>Офтальмоскопия (2 глаза)</t>
  </si>
  <si>
    <t>Пахиметрия (1 глаз)</t>
  </si>
  <si>
    <t>D95.132.326</t>
  </si>
  <si>
    <t>Пахиметрия (2 глаза)</t>
  </si>
  <si>
    <t>Периметрия (1 глаз)</t>
  </si>
  <si>
    <t>D95.050.309</t>
  </si>
  <si>
    <t>Периметрия (2 глаза)</t>
  </si>
  <si>
    <t>Промывание слезных путей (1 глаз)</t>
  </si>
  <si>
    <t>D96.511.312</t>
  </si>
  <si>
    <t>Промывание слезных путей (2 глаза)</t>
  </si>
  <si>
    <t>Простая коррекция (1 глаз)</t>
  </si>
  <si>
    <t>Простая коррекция (2 глаза)</t>
  </si>
  <si>
    <t>Сложная коррекция (1 глаз)</t>
  </si>
  <si>
    <t>D95.010.329</t>
  </si>
  <si>
    <t>Сложная коррекция (2 глаза)</t>
  </si>
  <si>
    <t>Снятие швов (1 глаз)</t>
  </si>
  <si>
    <t>D97.311.314</t>
  </si>
  <si>
    <t>Снятие швов (2 глаза)</t>
  </si>
  <si>
    <t>Санация коньюктивальной полости (1 глаз)</t>
  </si>
  <si>
    <t>Санация коньюктивальной полости (2 глаза)</t>
  </si>
  <si>
    <t>Тест Ширмера (опоределение сухости 1 глаз)</t>
  </si>
  <si>
    <t>D95.270.319</t>
  </si>
  <si>
    <t>Тест Ширмера (опоределение сухости 2 глаза)</t>
  </si>
  <si>
    <t xml:space="preserve">Удаление инородного тела (1 глаз) </t>
  </si>
  <si>
    <t>D98.210.367</t>
  </si>
  <si>
    <t xml:space="preserve">Удаление инородного тела (2 глаза) </t>
  </si>
  <si>
    <t>Циклоскопия (1 глаз)</t>
  </si>
  <si>
    <t>D16.211.323</t>
  </si>
  <si>
    <t>Циклоскопия (2 глаза)</t>
  </si>
  <si>
    <t>ЛАЗЕР-ОФТАЛЬМОЛОГ</t>
  </si>
  <si>
    <t>14.34.1</t>
  </si>
  <si>
    <t>операция</t>
  </si>
  <si>
    <t>Лазеркоагуляция субретинальной неоваскулярной мембраны (1 глаз)</t>
  </si>
  <si>
    <t>D14.240.383.2</t>
  </si>
  <si>
    <t>Лазеркоагуляция новообразованных сосудов заднего отрезка (1 глаз)</t>
  </si>
  <si>
    <t>D14.240.383.3</t>
  </si>
  <si>
    <t>Лазеркоагуляция новообразованных сосудов переднего отрезка (1 глаз)</t>
  </si>
  <si>
    <t>D14.240.383.4</t>
  </si>
  <si>
    <t>Лазерсинехиотомия (1 глаз)</t>
  </si>
  <si>
    <t>D12.790.382.1</t>
  </si>
  <si>
    <t>Лазерная коагуляция сетчатки (1 глаз)</t>
  </si>
  <si>
    <t>D14.240.383</t>
  </si>
  <si>
    <t>Лазертрабекулопластика (1 глаз)</t>
  </si>
  <si>
    <t>Лазериридопластика  (гониопластика) 1 глаз</t>
  </si>
  <si>
    <t>Лазериридотомия (периферическая иридэктомия) 1 глаз</t>
  </si>
  <si>
    <t>D12.591.384</t>
  </si>
  <si>
    <t>Лазердисцизия вторичной катаракты (1 глаз)</t>
  </si>
  <si>
    <t>D12.790.382</t>
  </si>
  <si>
    <t xml:space="preserve">Оптическая когерентная томография (1 глаз) </t>
  </si>
  <si>
    <t>D95.252.340</t>
  </si>
  <si>
    <t xml:space="preserve">Оптическая когерентная томография (2 глааз) </t>
  </si>
  <si>
    <t>Панлазеркоагуляция сетчатки (1 сеанс)</t>
  </si>
  <si>
    <t>Периферическая профилактическая лазеркоагуляция сетчатки первой категории сложности (1 глаз)</t>
  </si>
  <si>
    <t>Периферическая профилактическая лазеркоагуляция сетчатки второй категории сложности  (1 глаз)</t>
  </si>
  <si>
    <t>Парвазальная лазеркоагуляция сетчатки (1 глаз)</t>
  </si>
  <si>
    <t xml:space="preserve"> D14.240.383.1</t>
  </si>
  <si>
    <t>Фокальная лазеркоагуляция сетчатки по данным ФАГД (1 глаз)</t>
  </si>
  <si>
    <t>МАММОЛОГ</t>
  </si>
  <si>
    <t>Вакуумная аспирационная резекция</t>
  </si>
  <si>
    <t>D86.097.401</t>
  </si>
  <si>
    <t>манипуляция</t>
  </si>
  <si>
    <t>Мазки отпечатки с цитологическим исследованием - 1 образование</t>
  </si>
  <si>
    <t>Мазки отпечатки с цитологическим исследованием - 2 образования</t>
  </si>
  <si>
    <t>D91.496.105.2</t>
  </si>
  <si>
    <t>Мазки отпечатки с цитологическим исследованием - 3 образования</t>
  </si>
  <si>
    <t>D91.496.105.3</t>
  </si>
  <si>
    <t xml:space="preserve">Пункционная /аспирационная биопсия </t>
  </si>
  <si>
    <t>D88.790.001</t>
  </si>
  <si>
    <t>Трепанбиопсия с гистологическим исследованием - 1 образование</t>
  </si>
  <si>
    <t>D41.312.427</t>
  </si>
  <si>
    <t>Трепанбиопсия с гистологическим исследованием - 2 образования</t>
  </si>
  <si>
    <t>Трепанбиопсия с гистологическим исследованием - 3 образования</t>
  </si>
  <si>
    <t>Трепанбиопсия под контролем УЗИ с гистологическим исследованием - 1 образование</t>
  </si>
  <si>
    <t>Трепанбиопсия под контролем УЗИ с гистологическим исследованием - 2 образования</t>
  </si>
  <si>
    <t>Трепанбиопсия под контролем УЗИ с гистологическим исследованием - 3 образования</t>
  </si>
  <si>
    <t>НЕВРОПАТОЛОГ</t>
  </si>
  <si>
    <t>Люмбальная пункция</t>
  </si>
  <si>
    <t>D89.700.020.2</t>
  </si>
  <si>
    <t>Миофасциальная новокоиновая блокада</t>
  </si>
  <si>
    <t>D04.820.008.1</t>
  </si>
  <si>
    <t>АРИТМОЛОГ</t>
  </si>
  <si>
    <t>Тестирование ЭКС многоканальный</t>
  </si>
  <si>
    <t>D95.470.230.1</t>
  </si>
  <si>
    <t>исследование</t>
  </si>
  <si>
    <t>ГИНЕКОЛОГ</t>
  </si>
  <si>
    <t>Биопсия шейки матки</t>
  </si>
  <si>
    <t>D67.110.126</t>
  </si>
  <si>
    <t>Биопсия образования вульвы</t>
  </si>
  <si>
    <t xml:space="preserve"> 
В86.003</t>
  </si>
  <si>
    <t>Введение ВМС</t>
  </si>
  <si>
    <t>69.09.3</t>
  </si>
  <si>
    <t>Ведение 1,0 гиалуроновой кислоты (1,0 мл)</t>
  </si>
  <si>
    <t>D86.220.499</t>
  </si>
  <si>
    <t>Ведение 3,0 гиалуроновой кислоты (1,0 мл) при недержаний мочи</t>
  </si>
  <si>
    <t>Взятие мазка на степень чистоты</t>
  </si>
  <si>
    <t>D91.496.106</t>
  </si>
  <si>
    <t>Взятие мазка на цитологию</t>
  </si>
  <si>
    <t>D91.496.105.5</t>
  </si>
  <si>
    <t>Взятие мазка на пцр</t>
  </si>
  <si>
    <t>Взятие на РИФ и ЗППП</t>
  </si>
  <si>
    <t>ГСС (проходимость труб методом УЗИ)</t>
  </si>
  <si>
    <t>C03.033.004</t>
  </si>
  <si>
    <t>Диагностическое выскабливание цервикального канала и полости матки. Диэтермоканонизация шейки матки</t>
  </si>
  <si>
    <t>D69.090.129</t>
  </si>
  <si>
    <t>Диагностическое выскабливание цервикального канала и полости матки</t>
  </si>
  <si>
    <t>Диагностическое выскабливание цервикального канала</t>
  </si>
  <si>
    <t>Диэтермоканонизация шейки матки</t>
  </si>
  <si>
    <t>D67.320.125</t>
  </si>
  <si>
    <t>Иссечение вульвы</t>
  </si>
  <si>
    <t>71.62</t>
  </si>
  <si>
    <t>Кольпоскопия</t>
  </si>
  <si>
    <t>D70.210.117</t>
  </si>
  <si>
    <t>Массаж гинекологический</t>
  </si>
  <si>
    <t>D02.050.007</t>
  </si>
  <si>
    <t>D86.220.498</t>
  </si>
  <si>
    <t>Программа стимуляций функции яичников 4 приема + УЗИОМТ 4) на 1 месяц стимуляции</t>
  </si>
  <si>
    <t>D69.933.115</t>
  </si>
  <si>
    <t>Плазмотерапия (пробирками Ахмер) PRP</t>
  </si>
  <si>
    <t>D02.099.002</t>
  </si>
  <si>
    <t>Плазмотерапия (пробирками Кортоксил) PRP (1 пробирка)</t>
  </si>
  <si>
    <t>D93.571.415</t>
  </si>
  <si>
    <t>Плазмотерапия (пробирками Кортоксил) PRP (2 пробирки)</t>
  </si>
  <si>
    <t xml:space="preserve"> 
D93.571.415</t>
  </si>
  <si>
    <t>Расширенная санация</t>
  </si>
  <si>
    <t>D70.210.117.1</t>
  </si>
  <si>
    <t>Расширенная кольпоскопия</t>
  </si>
  <si>
    <t>Сложное удаление ВМС (крючком)</t>
  </si>
  <si>
    <t>Санация влагалища</t>
  </si>
  <si>
    <t>D70.210.117.2</t>
  </si>
  <si>
    <t>Удаление ВМС</t>
  </si>
  <si>
    <t>69.09.1</t>
  </si>
  <si>
    <t>Удаление образований вульвы</t>
  </si>
  <si>
    <t>D71.310.122.1</t>
  </si>
  <si>
    <t xml:space="preserve"> 
Фолликулмониторинг</t>
  </si>
  <si>
    <t>C03.982.004</t>
  </si>
  <si>
    <t>Тренировка мышц тазового дна на аппарате Арнольда</t>
  </si>
  <si>
    <t>D02.003.007.1</t>
  </si>
  <si>
    <t>Тренировка мышц тазового дна на аппарате Арнольда (курс лечения 6 процедур)</t>
  </si>
  <si>
    <t>Тренировка мышц тазового дна на аппарате Арнольда (курс лечения 8 процедур)</t>
  </si>
  <si>
    <t>Тренировка мышц тазового дна на аппарате Арнольда (курс лечения 10 процедур)</t>
  </si>
  <si>
    <t>ХИРУРГ</t>
  </si>
  <si>
    <t>Биопсия кожно- мышечного лоскута</t>
  </si>
  <si>
    <t>D86.111.435</t>
  </si>
  <si>
    <t xml:space="preserve">Вскрытие карбункула </t>
  </si>
  <si>
    <t>D86.225.404</t>
  </si>
  <si>
    <t>Вскрытие и дренирование абсцессов</t>
  </si>
  <si>
    <t>D28.000.208.1</t>
  </si>
  <si>
    <t xml:space="preserve">Вскрытие панариция </t>
  </si>
  <si>
    <t>D86.272.408</t>
  </si>
  <si>
    <t xml:space="preserve">Вскрытие флегмоны </t>
  </si>
  <si>
    <t>D86.228.413</t>
  </si>
  <si>
    <t xml:space="preserve">Вскрытие фурункула </t>
  </si>
  <si>
    <t>D86.229.414</t>
  </si>
  <si>
    <t>Вскрытие парапроктита</t>
  </si>
  <si>
    <t>D48.811.410</t>
  </si>
  <si>
    <t xml:space="preserve">Замена колостома </t>
  </si>
  <si>
    <t>D98.120.204</t>
  </si>
  <si>
    <t>Иглорефлексотерапия (1 сеанс)</t>
  </si>
  <si>
    <t>D02.016.006</t>
  </si>
  <si>
    <t>Иссечение анальной трещины</t>
  </si>
  <si>
    <t>D49.040.432</t>
  </si>
  <si>
    <t>Иссечение рубцов келлоидных</t>
  </si>
  <si>
    <t xml:space="preserve">D02.095.002  </t>
  </si>
  <si>
    <t>Исследование rectum</t>
  </si>
  <si>
    <t>D91.911.013.10</t>
  </si>
  <si>
    <t xml:space="preserve">Лапароцентез </t>
  </si>
  <si>
    <t>D54.910.426</t>
  </si>
  <si>
    <t xml:space="preserve">Микропенная склеротерапия варикозно расширенных вен нижних конечностей (1 усл) </t>
  </si>
  <si>
    <t>39.92</t>
  </si>
  <si>
    <t>Микропенная склеротерапия варикозно расширенных вен нижних конечностей (2 усл)</t>
  </si>
  <si>
    <t>Некрэктомия при карбункуле</t>
  </si>
  <si>
    <t>Перевязка без медикаментов (чистый)</t>
  </si>
  <si>
    <t>Перевязка с медикаментами и мазями (чистый)</t>
  </si>
  <si>
    <t xml:space="preserve">D86.220.498 </t>
  </si>
  <si>
    <t>Перевязка (гнойная)</t>
  </si>
  <si>
    <t>Плевральная пункция</t>
  </si>
  <si>
    <t>D00.000.010</t>
  </si>
  <si>
    <t xml:space="preserve">Промывание плевральные полости </t>
  </si>
  <si>
    <t>D20.940.216</t>
  </si>
  <si>
    <t>Пункция сустава</t>
  </si>
  <si>
    <t>D81.910.412</t>
  </si>
  <si>
    <t>ПХО раны без ПСС, АС</t>
  </si>
  <si>
    <t xml:space="preserve">D86.999.496  </t>
  </si>
  <si>
    <t>Снятие скоб</t>
  </si>
  <si>
    <t>D97.311.050</t>
  </si>
  <si>
    <t xml:space="preserve">Снятие швов, удаление лигатур </t>
  </si>
  <si>
    <t xml:space="preserve">D97.311.050 </t>
  </si>
  <si>
    <t>Тромбоэктомия из геморроидального узла</t>
  </si>
  <si>
    <t>Удаление доброкачественный опухоли 1 - категорий сложности (операция)</t>
  </si>
  <si>
    <t>D86.094.401</t>
  </si>
  <si>
    <t>Удаление доброкачественной опухоли  2 - категорий сложности (операция)</t>
  </si>
  <si>
    <t>Удаление доброкачественной опухоли 3 - категорий сложности (операция)</t>
  </si>
  <si>
    <t>Удаление доброкачественной опухоли  4 - категорий сложности (операция)</t>
  </si>
  <si>
    <t xml:space="preserve">D86.094.401 </t>
  </si>
  <si>
    <t xml:space="preserve">Удаление анальных бахромок </t>
  </si>
  <si>
    <t>Удаление / коррекция ногтевой пластинки</t>
  </si>
  <si>
    <t>D86.271.407</t>
  </si>
  <si>
    <t>Удаление образований мягких тканей - 1 категорий</t>
  </si>
  <si>
    <t>D86.098.401</t>
  </si>
  <si>
    <t>Удаление образований мягких тканей - 2 категорий</t>
  </si>
  <si>
    <t>Удаление образований мягких тканей - 3 категорий</t>
  </si>
  <si>
    <t>Удаление инородных тел из мягких тканей</t>
  </si>
  <si>
    <t>Фистулография (введение контрастного вещества врачом без стоимости ИМН)</t>
  </si>
  <si>
    <t>ЛАЗЕРНАЯ ХИРУРГИЯ</t>
  </si>
  <si>
    <t>Лазерная коагуляция папиллом, вирусной бородавки - 1 шт</t>
  </si>
  <si>
    <t>D86.310.420</t>
  </si>
  <si>
    <t>Лазерная шлифовка - 1 см2</t>
  </si>
  <si>
    <t>D02.097.002</t>
  </si>
  <si>
    <t>Лазерная шлифовка - лицо</t>
  </si>
  <si>
    <t>Лазерная шлифовка - лицо и шея</t>
  </si>
  <si>
    <t>Единичные стрий</t>
  </si>
  <si>
    <t>D02.096.002</t>
  </si>
  <si>
    <t xml:space="preserve"> 1 кв.см</t>
  </si>
  <si>
    <t>Лазерная круговая блефаропластика</t>
  </si>
  <si>
    <t>D02.094.002</t>
  </si>
  <si>
    <t>Лазерная терапия стрий - область груди</t>
  </si>
  <si>
    <t>Лазерная терапия стрий - область живота</t>
  </si>
  <si>
    <t>Лазерная терапия стрий - бедер</t>
  </si>
  <si>
    <t>Лазерная терапия стрий - ягодицы</t>
  </si>
  <si>
    <t xml:space="preserve">Лазерное лечение (фракционный термолиз, включительно плазмолифтинг, пиллинг) кожи - лицо </t>
  </si>
  <si>
    <t>Лазерное лечение (фракционный термолиз, включительно плазмолифтинг, пиллинг) кожи - лицо+шея</t>
  </si>
  <si>
    <t xml:space="preserve">Лазерное лечение (фракционный термолиз, включительно плазмолифтинг, пиллинг) кожи - лицо+шея+декольте </t>
  </si>
  <si>
    <t>Лазерное лечение (фракционный термолиз, включительно плазмолифтинг, пиллинг) кожи - лицо+шея+декольте+кисти рук</t>
  </si>
  <si>
    <t xml:space="preserve">Лазерное лечение (фракционный термолиз, включительно плазмолифтинг, пиллинг) кожи - лицо+шея+кисти рук </t>
  </si>
  <si>
    <t>Лазерное лечение рубцов</t>
  </si>
  <si>
    <t>D02.095.002</t>
  </si>
  <si>
    <t>1 кв.см</t>
  </si>
  <si>
    <t>Лазерное омоложение области вокруг глаз</t>
  </si>
  <si>
    <t>D02.098.002</t>
  </si>
  <si>
    <t>Лазерное омоложение кисти рук</t>
  </si>
  <si>
    <t>Лазерное омоложение щек</t>
  </si>
  <si>
    <t>Лазерный пиллинг - 1 кв.см.</t>
  </si>
  <si>
    <t>Удаление доброкачественных образований на коже до 1 мм - одна единица</t>
  </si>
  <si>
    <t>D86.226.405</t>
  </si>
  <si>
    <t>Удаление доброкачественных образований на коже от 1 мм до 3 мм -одна единица</t>
  </si>
  <si>
    <t>Удаление доброкачественных образований на коже от 3 мм до 5 мм - одна единица</t>
  </si>
  <si>
    <t>Удаление доброкачественных образований на коже от 5 до 10 мм - одна единица</t>
  </si>
  <si>
    <t>Удаление доброкачественных образований на коже от 10 мм до 15 мм - одна единица</t>
  </si>
  <si>
    <t>Удаление доброкачественных образований на коже от 15 мм и выше - одна единица</t>
  </si>
  <si>
    <t xml:space="preserve">Удаление вросшего ногтя </t>
  </si>
  <si>
    <t>Удаление гемангиомы выше 5 мм</t>
  </si>
  <si>
    <t>D86.095.401</t>
  </si>
  <si>
    <t>ПУЛЬМАНОЛОГ</t>
  </si>
  <si>
    <t>Полисомнография</t>
  </si>
  <si>
    <t>C02.049.000</t>
  </si>
  <si>
    <t xml:space="preserve">Проведение аппаратной бронходренажной терапии </t>
  </si>
  <si>
    <t>D99.999.077.1</t>
  </si>
  <si>
    <t>Подбор режима и лечебного давления СРАР-терапии синдрома обструктивного апноэ сна</t>
  </si>
  <si>
    <t>Подбор и проведение неинвазивной вентиляции легких</t>
  </si>
  <si>
    <t>D99.999.077.2</t>
  </si>
  <si>
    <t>ПЛАСТИЧЕСКИЙ ХИРУРГ</t>
  </si>
  <si>
    <t>Блефаропластика верхних век</t>
  </si>
  <si>
    <t>15.9011.1</t>
  </si>
  <si>
    <t>Блефаропластика нижних век</t>
  </si>
  <si>
    <t>15.9011.2</t>
  </si>
  <si>
    <t>Липосакция в зависимости от зоны</t>
  </si>
  <si>
    <t>14.34.7</t>
  </si>
  <si>
    <t>Липофиллинг в зависимости от зоны</t>
  </si>
  <si>
    <t>14.34.8</t>
  </si>
  <si>
    <t>Отопластика</t>
  </si>
  <si>
    <t>15.9011.3</t>
  </si>
  <si>
    <t>Подтяжка нитями Aptos ( без стоимости ИМН)</t>
  </si>
  <si>
    <t>14.34.9</t>
  </si>
  <si>
    <t>УРОЛОГ</t>
  </si>
  <si>
    <t>Взятие мазка из уретры</t>
  </si>
  <si>
    <t>D99.941.602.2</t>
  </si>
  <si>
    <t>Взятие секрета простаты</t>
  </si>
  <si>
    <t>D99.941.602</t>
  </si>
  <si>
    <t xml:space="preserve">Выведение мочи с катетором </t>
  </si>
  <si>
    <t>D99.941.602.3</t>
  </si>
  <si>
    <t>Инстилляции мочевого пузыря</t>
  </si>
  <si>
    <t>D96.492.606.1</t>
  </si>
  <si>
    <t>Инстилляция уретры</t>
  </si>
  <si>
    <t>D96.492.606</t>
  </si>
  <si>
    <t>Массаж простаты</t>
  </si>
  <si>
    <t>D99.940.603</t>
  </si>
  <si>
    <t>Смена надлобкового дренажа без стоимости ИМН</t>
  </si>
  <si>
    <t>D93.892.052</t>
  </si>
  <si>
    <t>Удаление полипа с интимной зоны</t>
  </si>
  <si>
    <t>D48.350.431.1</t>
  </si>
  <si>
    <t>Установка катерера Фоллея 
(с инстилляцией уретры)</t>
  </si>
  <si>
    <t>D96.492.606.2</t>
  </si>
  <si>
    <t xml:space="preserve">D00.000.011 </t>
  </si>
  <si>
    <t>Урофлоуметрия</t>
  </si>
  <si>
    <t>D89.240.605</t>
  </si>
  <si>
    <t>ОТОЛАРИНГОЛОГ</t>
  </si>
  <si>
    <t>Анемизация слизистой ЛОР органов</t>
  </si>
  <si>
    <t>D21.321.211</t>
  </si>
  <si>
    <t>Аудиометрия тональная пороговая</t>
  </si>
  <si>
    <t>D95.410.213</t>
  </si>
  <si>
    <t>Вскрытие абсцесса/фурункула (ЛОР)</t>
  </si>
  <si>
    <t>D86.229.218</t>
  </si>
  <si>
    <t>Вскрытие гематомы (ЛОР)</t>
  </si>
  <si>
    <t>D86.011.219</t>
  </si>
  <si>
    <t>Внутригортанные вливания</t>
  </si>
  <si>
    <t>D31.010.225</t>
  </si>
  <si>
    <t>Забор мазка на исследование ЛОР органов</t>
  </si>
  <si>
    <t>D91.496.105</t>
  </si>
  <si>
    <t xml:space="preserve">Коагуляция кровоточащего участка в полости носа (диатермическая и лазерная) </t>
  </si>
  <si>
    <t>D21.091.210</t>
  </si>
  <si>
    <t>Медикаментозное туширование гранул слизистой оболочки задней стенки глотки, миндалин</t>
  </si>
  <si>
    <t>D20.090.217.4</t>
  </si>
  <si>
    <t>Парацентез барабанной перепонки</t>
  </si>
  <si>
    <t>D20.090.217</t>
  </si>
  <si>
    <t>Перевязка с медикаментами и мазями</t>
  </si>
  <si>
    <t>Передняя тампонада носа</t>
  </si>
  <si>
    <t>D21.010.206</t>
  </si>
  <si>
    <t>Пневмомассаж барабанных перепонок (1процедура)</t>
  </si>
  <si>
    <t>D95.431.214</t>
  </si>
  <si>
    <t>Продувание слуховых труб по Политцеру</t>
  </si>
  <si>
    <t>D20.940.216.2</t>
  </si>
  <si>
    <t>Продувание слуховых труб катетером с лекарственными препаратами</t>
  </si>
  <si>
    <t>D20.940.216.1</t>
  </si>
  <si>
    <t>Промывание придаточных пазух носа по Проетцу</t>
  </si>
  <si>
    <t>D20.940.216.5</t>
  </si>
  <si>
    <t>Промывание миндалин на аппарате "Тонзиллор" (1 процедура)</t>
  </si>
  <si>
    <t>D20.940.216.3</t>
  </si>
  <si>
    <t>Промывание миндалин (гортанным шприцем)</t>
  </si>
  <si>
    <t>D20.940.216.4</t>
  </si>
  <si>
    <t>Промывание серной пробки (1 ухо)</t>
  </si>
  <si>
    <t>Пункция Гайморовой пазухи</t>
  </si>
  <si>
    <t>Туалет носа после эндоназальной операции</t>
  </si>
  <si>
    <t>Туалет уха при гнойных отитах</t>
  </si>
  <si>
    <t>Турунды в ухо, нос</t>
  </si>
  <si>
    <t>D93.891.031.5</t>
  </si>
  <si>
    <t>Удаление серной пробки (сухим методом 1 уха)</t>
  </si>
  <si>
    <t>D64.930.615.5</t>
  </si>
  <si>
    <t>Удаление внутрипросветного инородного тела из носа, без рассечения</t>
  </si>
  <si>
    <t>Эндоскопическое исследование Лор органов</t>
  </si>
  <si>
    <t>C01.013.001.3</t>
  </si>
  <si>
    <t>ПРОЦЕДУРНЫЙ КАБИНЕТ</t>
  </si>
  <si>
    <t>Анализ крови на ВИЧ</t>
  </si>
  <si>
    <t>D99.293.012.1</t>
  </si>
  <si>
    <t>Бактериологическое исследование мокроты</t>
  </si>
  <si>
    <t>D99.293.012.2</t>
  </si>
  <si>
    <t>Внутривенная инъекция без лекарственных средств</t>
  </si>
  <si>
    <t>D99.590.023</t>
  </si>
  <si>
    <t>Внутримышечная инъекция (без  стоимости лекарственных средств)</t>
  </si>
  <si>
    <t xml:space="preserve">D99.590.022 </t>
  </si>
  <si>
    <t>Внутривенная инфузия</t>
  </si>
  <si>
    <t xml:space="preserve">D99.999.064 </t>
  </si>
  <si>
    <t>Забор артериальной крови из артерии на КШС</t>
  </si>
  <si>
    <t>D99.293.012.7</t>
  </si>
  <si>
    <t>Забор крови из вены</t>
  </si>
  <si>
    <t>D99.293.012</t>
  </si>
  <si>
    <t>Забор биологического материала методом полимеразной цепной реакции (ПЦР) на вирус КВИ (COVID-19)</t>
  </si>
  <si>
    <t>Забор крови из вены на ВИЧ</t>
  </si>
  <si>
    <t>D99.293.012.8</t>
  </si>
  <si>
    <t>Забор крови на антитела к COVID-19</t>
  </si>
  <si>
    <t>D99.293.012.9</t>
  </si>
  <si>
    <t>Оксигенотерапия (или кислородотерапия)</t>
  </si>
  <si>
    <t>D99.293.012.5</t>
  </si>
  <si>
    <t>Очистительная клизма</t>
  </si>
  <si>
    <t>D99.293.012.6</t>
  </si>
  <si>
    <t>Проба на лекарственное средство</t>
  </si>
  <si>
    <t>D99.999.068</t>
  </si>
  <si>
    <t>Подкожная инъекция (без учета стоимости лекарственных средств)</t>
  </si>
  <si>
    <t>D99.590.024</t>
  </si>
  <si>
    <t>ДНЕВНОЙ СТАЦИОНАР АМБУЛАТОРНО-КОНСУЛЬТАТИВНОГО ЦЕНТРА</t>
  </si>
  <si>
    <t xml:space="preserve">День пребывания в дневном стационаре </t>
  </si>
  <si>
    <t>N02.001.000</t>
  </si>
  <si>
    <t>койко-день</t>
  </si>
  <si>
    <t>Стоимость завтрака - дневной стационар поликлиники</t>
  </si>
  <si>
    <t>Стоимость обеда - дневной стационар поликлиники</t>
  </si>
  <si>
    <t>Стоимость завтрака и обеда - дневной стационар поликлиники</t>
  </si>
  <si>
    <t>Стоимость полдника - дневной стационар поликлиники</t>
  </si>
  <si>
    <t>Стоимость завтрак, обед, полдник - дневной стационар поликлиники</t>
  </si>
  <si>
    <t>Стоимость завтрак, обед, полдник, ужин - дневной стационар поликлиники</t>
  </si>
  <si>
    <t>ЭНДОСКОПИЧЕСКИЙ ОТДЕЛ</t>
  </si>
  <si>
    <t>Консультация: Эндоскопист</t>
  </si>
  <si>
    <t>A02.022.000</t>
  </si>
  <si>
    <t xml:space="preserve">Атипичная эндоскопическая папиллоотомия   </t>
  </si>
  <si>
    <t>51.31.3</t>
  </si>
  <si>
    <t>Бужирование по струне</t>
  </si>
  <si>
    <t>C01.032.002</t>
  </si>
  <si>
    <t>Дуоденоскопия (Видеоэнтероскопия)</t>
  </si>
  <si>
    <t>С01.002.001</t>
  </si>
  <si>
    <t>исслед</t>
  </si>
  <si>
    <t>Инструментальная ревизия желчных протоков</t>
  </si>
  <si>
    <t>С01.003.002.2</t>
  </si>
  <si>
    <t>Клипирование - гемостаз, при гастроскопии (без стоимости ИМН)</t>
  </si>
  <si>
    <t>C01.029.002.1</t>
  </si>
  <si>
    <t>Клипирование - гемостаз при колоноскопии (без стоимости ИМН)</t>
  </si>
  <si>
    <t>C01.029.002.2</t>
  </si>
  <si>
    <t>Лигирование варикозно расширенных вен пищевода (без стоимости ИМН)</t>
  </si>
  <si>
    <t>С01.029.002.3</t>
  </si>
  <si>
    <t>Обкалывание источника кровотечения лекарственными препаратами при бронхоскопии</t>
  </si>
  <si>
    <t>C01.027.002.6</t>
  </si>
  <si>
    <t>Обкалывание источника кровотечения лекарственными препаратами при колоноскопии (без стоимости ИМН)</t>
  </si>
  <si>
    <t>C01.027.002.1</t>
  </si>
  <si>
    <t>Обкалывание источника кровотечения лекарственными препаратами при гастроскопии</t>
  </si>
  <si>
    <t>C01.027.002.2</t>
  </si>
  <si>
    <t xml:space="preserve">Орошение источника кровотечения гемостатическими и сосудосуживающими препаратами при гастроскопии </t>
  </si>
  <si>
    <t>C01.027.002.3</t>
  </si>
  <si>
    <t xml:space="preserve">Орошение источника кровотечения гемостатическими и сосудосуживающими препаратами при колоноскопии </t>
  </si>
  <si>
    <t>C01.027.002.4</t>
  </si>
  <si>
    <t xml:space="preserve">Орошение источника кровотечения гемостатическими и сосудосуживающими препаратами при бронхоскопии </t>
  </si>
  <si>
    <t>C01.027.002.5</t>
  </si>
  <si>
    <t>Ректороманоскопия</t>
  </si>
  <si>
    <t>С01.018.001.1</t>
  </si>
  <si>
    <t>Санация,орошение</t>
  </si>
  <si>
    <t>D96.330.014.1</t>
  </si>
  <si>
    <t>Санационная бронхоскопия</t>
  </si>
  <si>
    <t>33.22</t>
  </si>
  <si>
    <t xml:space="preserve">Тотальная фиброколоноскопия  </t>
  </si>
  <si>
    <t>С01.015.001</t>
  </si>
  <si>
    <t>Удаление инородных тел верхних отделов ЖКТ</t>
  </si>
  <si>
    <t>С01.002.002.1</t>
  </si>
  <si>
    <t>Удаление инородны тел нижних отделов ЖКТ</t>
  </si>
  <si>
    <t>С01.002.002.2</t>
  </si>
  <si>
    <t>Установка гастростомы</t>
  </si>
  <si>
    <t>51.87.10</t>
  </si>
  <si>
    <t>Установка внутрижелудочного баллона для снижения веса (без баллона)</t>
  </si>
  <si>
    <t>С01.024.002</t>
  </si>
  <si>
    <t>Удаление внутрижелудочного баллона</t>
  </si>
  <si>
    <t>51.87.11</t>
  </si>
  <si>
    <t xml:space="preserve">Фибробронхоскопия диагностическая </t>
  </si>
  <si>
    <t>C01.009.001</t>
  </si>
  <si>
    <t>Фиброларингоскопия (C01.025.001)</t>
  </si>
  <si>
    <t>C01.025.001</t>
  </si>
  <si>
    <t>Фиброэзофагогастродуоденоскопия (C01.001.001)</t>
  </si>
  <si>
    <t>C01.001.001</t>
  </si>
  <si>
    <t xml:space="preserve">Фиброректосигмоидоскопия </t>
  </si>
  <si>
    <t>С01.017.001</t>
  </si>
  <si>
    <t>Фиброэзофагоскопия (C01.003.001)</t>
  </si>
  <si>
    <t>C01.003.001</t>
  </si>
  <si>
    <t>Экспрес тест Helicobacter pylori (хеликобактер пилори) (ХЕЛИК-тест)</t>
  </si>
  <si>
    <t>B03.106.003</t>
  </si>
  <si>
    <t xml:space="preserve">Эндоскопическая ретроградная холангио-панкреатография  </t>
  </si>
  <si>
    <t>C01.020.001</t>
  </si>
  <si>
    <t xml:space="preserve">Эндоскопическая папиллосфинктеротомия   </t>
  </si>
  <si>
    <t>51.31.4</t>
  </si>
  <si>
    <t xml:space="preserve">Эндоскопическая механическая экстракция конкрементов/литотрипсия </t>
  </si>
  <si>
    <t>C01.003.002</t>
  </si>
  <si>
    <t>Определение Helicobacter pylori (хеликобактер пилори) (ХЕЛПИЛ-тест)</t>
  </si>
  <si>
    <t>C01.999.001</t>
  </si>
  <si>
    <t>Эндоскопическая механическая литотрипсия для 1 конкремента</t>
  </si>
  <si>
    <t>C01.003.002.1</t>
  </si>
  <si>
    <t>Эндоскопическая  установка назобилиарного дренажа (без стоимости ИМН)</t>
  </si>
  <si>
    <t>C01.008.002.1</t>
  </si>
  <si>
    <t>Эндоскопическое введение стента (трубки) в желчный проток (без стоимости ИМН)</t>
  </si>
  <si>
    <t>51.87.1</t>
  </si>
  <si>
    <t>Эндоскопическое   стентирование постоянным стентом (без стоимости ИМН)</t>
  </si>
  <si>
    <t>51.87.2</t>
  </si>
  <si>
    <t>Эндоскопическая балонная дилятация (ЭБД) пищевода (без стоимости ИМН)</t>
  </si>
  <si>
    <t>51.87.4</t>
  </si>
  <si>
    <t>Эндоскопическое рассечение рубцовых стриктур, реканализация (без стоимости ИМН)</t>
  </si>
  <si>
    <t>51.87.5</t>
  </si>
  <si>
    <t>Эндоскпическая фотография</t>
  </si>
  <si>
    <t>С01.003.001.1</t>
  </si>
  <si>
    <t>Эндоскопическая интубация трахеи</t>
  </si>
  <si>
    <t>С01.013.001</t>
  </si>
  <si>
    <t>Эндоскопическое удаление инородных тел из дыхательных путей</t>
  </si>
  <si>
    <t>C01.024.002</t>
  </si>
  <si>
    <t>Эндоскопическое рассечение рубцовых стриктур,реканализация трахеи- 1 категории сложности</t>
  </si>
  <si>
    <t>Эндоскопическое рассечение рубцовых стриктур,реканализация трахеи- 2 категории сложности</t>
  </si>
  <si>
    <t>51.87.6</t>
  </si>
  <si>
    <t>Эндоскопическое рассечение рубцовых стриктур,реканализация трахеи- 3 категории сложности</t>
  </si>
  <si>
    <t>51.87.7</t>
  </si>
  <si>
    <t>Эндоскопическая подслизистая резекция ЖКТ</t>
  </si>
  <si>
    <t>51.87.9</t>
  </si>
  <si>
    <t>Эндоскопическая пневмодилатация при ахалазии кардии (без стоимости ИМН)</t>
  </si>
  <si>
    <t>C01.011.002.1</t>
  </si>
  <si>
    <t>Видеоэзофагогастродуоденоскопия</t>
  </si>
  <si>
    <t>C01.002.001</t>
  </si>
  <si>
    <t>Видеобронхоскопия</t>
  </si>
  <si>
    <t>C01.010.001</t>
  </si>
  <si>
    <t>Видеоколоноскопия</t>
  </si>
  <si>
    <t>C01.016.001</t>
  </si>
  <si>
    <t>Видеоректоскопия</t>
  </si>
  <si>
    <t>C01.018.001</t>
  </si>
  <si>
    <t>Эндоскопическая щипковая биопсия (за 1 взятый материал)</t>
  </si>
  <si>
    <t>C01.027.001</t>
  </si>
  <si>
    <t>Видеоназоларингоскопия</t>
  </si>
  <si>
    <t>C01.028.001</t>
  </si>
  <si>
    <t>Эндоскопическая резекция с использованием иньектора (EMR)</t>
  </si>
  <si>
    <t>C01.030.002</t>
  </si>
  <si>
    <t>Горячая петлевая полипэктомия до 3-х полипов от 1-2 см в диаметре (с учетом петли)</t>
  </si>
  <si>
    <t>68.29.5</t>
  </si>
  <si>
    <t>Горячая петлевая полипэктомия более 3-х полипов от 1-2 см в диаметре (с учетом петли)</t>
  </si>
  <si>
    <t>68.29.4</t>
  </si>
  <si>
    <t>Эндоскопический гемостаз с клип-аппликатором (за один клип-аппликатор)</t>
  </si>
  <si>
    <t>Холодная петлевая полипэктомия до 3-х полипов до 1 см в диаметре (с учетом петли)</t>
  </si>
  <si>
    <t>68.29.3</t>
  </si>
  <si>
    <t>Холодная петлевая полипэктомия более 3-х полипов до 1 см в диаметре (с учетом петли)</t>
  </si>
  <si>
    <t>68.29.6</t>
  </si>
  <si>
    <t>ОТДЕЛ ВОССТАНОВИТЕЛЬНОГО ЛЕЧЕНИЯ</t>
  </si>
  <si>
    <t>Аккупунктурный массаж стоп по методике Шиацу на аппарате Marutaka</t>
  </si>
  <si>
    <t>D02.005.007.2</t>
  </si>
  <si>
    <t>Акупрессура</t>
  </si>
  <si>
    <t>D02.004.006</t>
  </si>
  <si>
    <t>Амплипульстерапия (СМТ)</t>
  </si>
  <si>
    <t>D02.008.001</t>
  </si>
  <si>
    <t>Аэрозольтерапия</t>
  </si>
  <si>
    <t>D02.001.003</t>
  </si>
  <si>
    <t>Биоптрон</t>
  </si>
  <si>
    <t>D02.030.001</t>
  </si>
  <si>
    <t>Вагинальное орошение</t>
  </si>
  <si>
    <t>D02.007.007.4</t>
  </si>
  <si>
    <t xml:space="preserve">Висцеральный массаж брюшной полости </t>
  </si>
  <si>
    <t>D02.021.007.1</t>
  </si>
  <si>
    <t>Внутривенная лазеротерапия</t>
  </si>
  <si>
    <t>D02.008.002</t>
  </si>
  <si>
    <t>Вытяжение суставов (верхних или нижних конечностей)</t>
  </si>
  <si>
    <t>D02.007.007.2</t>
  </si>
  <si>
    <t>Гидроколонотерапия</t>
  </si>
  <si>
    <t>D02.014.004</t>
  </si>
  <si>
    <t>Дарсонвализация</t>
  </si>
  <si>
    <t>D02.014.001</t>
  </si>
  <si>
    <t>Инфракрасное излучение</t>
  </si>
  <si>
    <t>D02.011.002</t>
  </si>
  <si>
    <t>Кинезотерапия групповая</t>
  </si>
  <si>
    <t>D02.002.008</t>
  </si>
  <si>
    <t>Кинезотерапия индивидуальная (без двигательных нарушений)</t>
  </si>
  <si>
    <t>D02.003.008</t>
  </si>
  <si>
    <t xml:space="preserve">Классический массаж всего тела </t>
  </si>
  <si>
    <t>D02.001.007</t>
  </si>
  <si>
    <t>Лазеротерапия (квантовая терапия)</t>
  </si>
  <si>
    <t>D02.004.002</t>
  </si>
  <si>
    <t xml:space="preserve">Лекарственные ингаляции </t>
  </si>
  <si>
    <t>D02.001.003.1</t>
  </si>
  <si>
    <t>Механотерапия пассивная</t>
  </si>
  <si>
    <t>D02.004.008</t>
  </si>
  <si>
    <t>Миллиметровая терапия (КВЧ- терапия)</t>
  </si>
  <si>
    <t>D02.022.001</t>
  </si>
  <si>
    <t>Магнитотерапия</t>
  </si>
  <si>
    <t>D02.023.001</t>
  </si>
  <si>
    <t>Магнитотерапия системой BTL, Алмаг - 02</t>
  </si>
  <si>
    <t>D02.023.00.1</t>
  </si>
  <si>
    <t>Массаж антицеллюлитный  (3 поля)</t>
  </si>
  <si>
    <t>D02.020.007.2</t>
  </si>
  <si>
    <t xml:space="preserve">Массаж верхней конечностей </t>
  </si>
  <si>
    <t>D02.014.007</t>
  </si>
  <si>
    <t>Массаж голеностопного сустава</t>
  </si>
  <si>
    <t>D02.028.007</t>
  </si>
  <si>
    <t>Массаж головы (лобно-височной и затылочно-теменной области)</t>
  </si>
  <si>
    <t>D02.008.007</t>
  </si>
  <si>
    <t xml:space="preserve">Массаж кисти и предплечья </t>
  </si>
  <si>
    <t>D02.019.007</t>
  </si>
  <si>
    <t xml:space="preserve">Массаж коленного сустава </t>
  </si>
  <si>
    <t>D02.027.007</t>
  </si>
  <si>
    <t>Массаж локтевого сустава</t>
  </si>
  <si>
    <t>D02.017.007</t>
  </si>
  <si>
    <t xml:space="preserve">Массаж лучезапястного сустава  </t>
  </si>
  <si>
    <t>D02.018.007</t>
  </si>
  <si>
    <t>Массаж лица</t>
  </si>
  <si>
    <t>D02.030.007</t>
  </si>
  <si>
    <t xml:space="preserve">Массаж мышц передней брюшной стенки </t>
  </si>
  <si>
    <t>D02.021.007</t>
  </si>
  <si>
    <t xml:space="preserve">Массаж нижней конечности </t>
  </si>
  <si>
    <t>D02.026.007</t>
  </si>
  <si>
    <t xml:space="preserve">Массаж области грудной клетки </t>
  </si>
  <si>
    <t>D02.015.007</t>
  </si>
  <si>
    <t>Массаж всего позвоночника</t>
  </si>
  <si>
    <t>D02.020.007</t>
  </si>
  <si>
    <t>Массаж плечевого сустава</t>
  </si>
  <si>
    <t>D02.016.007</t>
  </si>
  <si>
    <t>Массаж пояснично-крестцовой области</t>
  </si>
  <si>
    <t>D02.022.007</t>
  </si>
  <si>
    <t xml:space="preserve">Массаж грудного отдела позвоночника </t>
  </si>
  <si>
    <t>D02.013.007</t>
  </si>
  <si>
    <t xml:space="preserve">Массаж стопы и голени </t>
  </si>
  <si>
    <t>D02.029.007</t>
  </si>
  <si>
    <t>Массаж тазобедренного сустава и ягодичной области (одноименной стороны)</t>
  </si>
  <si>
    <t>D02.024.007</t>
  </si>
  <si>
    <t>Массаж шейно-грудного отдела позвоночника</t>
  </si>
  <si>
    <t>D02.011.007</t>
  </si>
  <si>
    <t xml:space="preserve">Массаж воротниковой зоны </t>
  </si>
  <si>
    <t>D02.010.007</t>
  </si>
  <si>
    <t>Массаж шеи, воротниковой зоны и обоих плечевых суставов</t>
  </si>
  <si>
    <t>D02.012.007</t>
  </si>
  <si>
    <t>Массаж электростатическим полем системой "Хивамат-200"</t>
  </si>
  <si>
    <t>D02.020.007.1</t>
  </si>
  <si>
    <t>Местное ультрафиолетовое облучение</t>
  </si>
  <si>
    <t>D02.001.002</t>
  </si>
  <si>
    <t>Общее ультрафиолетовое облучение</t>
  </si>
  <si>
    <t>D02.002.002</t>
  </si>
  <si>
    <t>Парафинотерапия</t>
  </si>
  <si>
    <t>D02.001.005</t>
  </si>
  <si>
    <t>Пассивная разработка (для 1 этапа реабилитации без двигательных нарушении)</t>
  </si>
  <si>
    <t>D02.006.008</t>
  </si>
  <si>
    <t>Паравертебральный вибромассаж позвоночника</t>
  </si>
  <si>
    <t>D02.005.007.1</t>
  </si>
  <si>
    <t>Подводное вытяжение позвоночника</t>
  </si>
  <si>
    <t>D02.007.007.3</t>
  </si>
  <si>
    <t>Подводный душ-массаж</t>
  </si>
  <si>
    <t>D02.010.004</t>
  </si>
  <si>
    <t>Прессотерапия Lymphastim</t>
  </si>
  <si>
    <t>D02.020.007.3</t>
  </si>
  <si>
    <t>Сантиметровая терапия (СМВ)</t>
  </si>
  <si>
    <t>D02.020.001</t>
  </si>
  <si>
    <t>Сегментарный массаж</t>
  </si>
  <si>
    <t>D02.002.007</t>
  </si>
  <si>
    <t>Стимуляция лимфатической и венозной дренажных систем аппаратом "ЛимфаВижин"</t>
  </si>
  <si>
    <t>D02.020.007.4</t>
  </si>
  <si>
    <t>Терапия лазерным сканирующим лучом</t>
  </si>
  <si>
    <t>D02.010.002</t>
  </si>
  <si>
    <t>Трансцеребральная электроанальгезия</t>
  </si>
  <si>
    <t>D02.006.001</t>
  </si>
  <si>
    <t>Тракционная терапия (вытяжение 1 отдела позвоночника+ вибромассаж)</t>
  </si>
  <si>
    <t>D02.007.007.1</t>
  </si>
  <si>
    <t>Тракция позвоночника (один отдел)</t>
  </si>
  <si>
    <t>D02.007.007</t>
  </si>
  <si>
    <t>Ультравысокочастотная терапия (УВЧ)</t>
  </si>
  <si>
    <t>D02.018.001</t>
  </si>
  <si>
    <t>УВЧ индуктотермия</t>
  </si>
  <si>
    <t>D02.019.001</t>
  </si>
  <si>
    <t>Ультразвуковая терапия</t>
  </si>
  <si>
    <t>D02.024.001</t>
  </si>
  <si>
    <t>Электрофорез</t>
  </si>
  <si>
    <t>D02.002.001</t>
  </si>
  <si>
    <t>Электрофорез, ДДТ, СМТ, стимуляция на аппарате "Физиомед-Эксперт"</t>
  </si>
  <si>
    <t>D02.008.001.1</t>
  </si>
  <si>
    <t>Электросон</t>
  </si>
  <si>
    <t>D02.005.001</t>
  </si>
  <si>
    <t>Скульптурный массаж лица</t>
  </si>
  <si>
    <t>Пакеты реабилитации</t>
  </si>
  <si>
    <t xml:space="preserve">«Пяточная шпора» №1 </t>
  </si>
  <si>
    <t>пакет</t>
  </si>
  <si>
    <t xml:space="preserve"> «Пяточная шпора» №2 </t>
  </si>
  <si>
    <t xml:space="preserve"> «Экспресс-программа по коррекции фигуры и целлюлита» №1 </t>
  </si>
  <si>
    <t xml:space="preserve">№2 «Экспресс-программа по коррекции фигуры и целлюлита» </t>
  </si>
  <si>
    <t xml:space="preserve">«Лечение волос и кожи волосистой части головы»№1  </t>
  </si>
  <si>
    <t xml:space="preserve">«Лечение волос и кожи волосистой части головы»№2  </t>
  </si>
  <si>
    <t xml:space="preserve">«Воспалительные заболевания матки» №1 </t>
  </si>
  <si>
    <t xml:space="preserve">«Воспалительные заболевания матки» №2 </t>
  </si>
  <si>
    <t xml:space="preserve">
«Женское здоровье №1»
</t>
  </si>
  <si>
    <t xml:space="preserve"> «Женское здоровье» №2</t>
  </si>
  <si>
    <t xml:space="preserve"> «Сальпингоофарит, аднексид» №1 </t>
  </si>
  <si>
    <t xml:space="preserve"> «Сальпингоофарит, аднексид» №2</t>
  </si>
  <si>
    <t xml:space="preserve"> «Эндометриоз, Эндометрит» №1</t>
  </si>
  <si>
    <t xml:space="preserve"> «Эндометриоз. Эндометрит» №2 </t>
  </si>
  <si>
    <t>«Мужское здоровье » №1</t>
  </si>
  <si>
    <t xml:space="preserve"> «Мужское здоровье» №2 </t>
  </si>
  <si>
    <t xml:space="preserve"> «Боль в спине» №1</t>
  </si>
  <si>
    <t xml:space="preserve">«Боль в спине» №2 </t>
  </si>
  <si>
    <t xml:space="preserve"> «Боль в суставах» №1</t>
  </si>
  <si>
    <t xml:space="preserve">«Боль в суставах» «№2 </t>
  </si>
  <si>
    <t xml:space="preserve"> Абонементная система занятий Кинезотерапией</t>
  </si>
  <si>
    <t>Абонемент на индивидуальные занятия «Кинезотерапия 8 занятий, 1 месяц (2 раза в неделю)» без заморозки</t>
  </si>
  <si>
    <t>абонемент</t>
  </si>
  <si>
    <t>Абонемент на индивидуальные занятия «Кинезотерапия по 8 занятий ежемесячно (итого 24 занятия), 3 месяца (2 раза в неделю)» без заморозки</t>
  </si>
  <si>
    <t>Абонемент на индивидуальные занятия «Кинезотерапия 12 занятий 1 месяц (3 раза в неделю)» без заморозки</t>
  </si>
  <si>
    <t>Абонемент «Кинезотерапия по 12 занятий ежемесячно (итого 36 занятий), 3 месяца (3 раза в неделю)» без заморозки</t>
  </si>
  <si>
    <t>Групповые занятия</t>
  </si>
  <si>
    <t>D02.994.004</t>
  </si>
  <si>
    <t>ОТДЕЛ  ЛУЧЕВОЙ ДИАГНОСТИКИ И УЛЬТРАЗВУКОВОЙ ВИЗУАЛИЗАЦИИ</t>
  </si>
  <si>
    <t>Гистеросальпингография</t>
  </si>
  <si>
    <t>C03.067.005</t>
  </si>
  <si>
    <t>Запись изображения рентген, КТ,МРТ на оптический СD диск</t>
  </si>
  <si>
    <t>C03.004.005.1</t>
  </si>
  <si>
    <t>Запись изображения Рентген, КТ,МРТ на оптический DVD диск</t>
  </si>
  <si>
    <t>C03.004.005.2</t>
  </si>
  <si>
    <t>Пункционная/аспирационная биопсия под КТ контролем</t>
  </si>
  <si>
    <t xml:space="preserve"> D92.090.001</t>
  </si>
  <si>
    <t>Ирригоскопия/ирригография (двойное контрастирование)</t>
  </si>
  <si>
    <t>C03.034.005</t>
  </si>
  <si>
    <t>Компьютерная томография головного мозга</t>
  </si>
  <si>
    <t>C03.001.006</t>
  </si>
  <si>
    <t>Компьютерная томография шеи</t>
  </si>
  <si>
    <t>C03.002.006</t>
  </si>
  <si>
    <t>Компьютерная томографическая ангиография  брахиоцефальных артерий (БЦА)</t>
  </si>
  <si>
    <t>88.41</t>
  </si>
  <si>
    <t>КТ-виртуальная бронхоскопия, бронхография</t>
  </si>
  <si>
    <t>C03.093.005.1</t>
  </si>
  <si>
    <t>Компьютерная томография органов грудной клетки и средостения</t>
  </si>
  <si>
    <t>C03.003.006</t>
  </si>
  <si>
    <t>Компьютерная томографическая аортография (грудная/брюшная)</t>
  </si>
  <si>
    <t>С88.420.011</t>
  </si>
  <si>
    <t>Компьютерная томографическая панаортография (грудная/брюшная)</t>
  </si>
  <si>
    <t>Компьютерная томографическая панаортография для планирования TAVI (вся аорта и подвздошно - бедренный сегмент</t>
  </si>
  <si>
    <t>Компьютерная томография органов брюшной полости и забрюшинного пространства</t>
  </si>
  <si>
    <t>C03.005.006</t>
  </si>
  <si>
    <t>Компьютерная томография органов малого таза</t>
  </si>
  <si>
    <t>C03.006.006</t>
  </si>
  <si>
    <t>Компьютерная томография мочевыделительной системы (брюшная полость и таз)</t>
  </si>
  <si>
    <t>Компьютерная томография костно-суставной системы (1 анатомическая зона)</t>
  </si>
  <si>
    <t>C03.007.006</t>
  </si>
  <si>
    <t>Двуэнергетическая компьютерная томография костно - суставной системы (1 анатомическая зона) для определения солей мочевой кислоты</t>
  </si>
  <si>
    <t>Компьютерная томография (сосудов )сердца</t>
  </si>
  <si>
    <t>C03.014.006.2</t>
  </si>
  <si>
    <t>КТ - оценка коронарного кальциноза (Ca Scoring)</t>
  </si>
  <si>
    <t>C03.014.006</t>
  </si>
  <si>
    <t>Компьютерная томография придаточных пазух носа</t>
  </si>
  <si>
    <t>C03.008.006</t>
  </si>
  <si>
    <t>Компьютерная томография пирамид височных костей</t>
  </si>
  <si>
    <t>C03.009.006</t>
  </si>
  <si>
    <t>Компьютерная томография прочих органов</t>
  </si>
  <si>
    <t>C03.010.006</t>
  </si>
  <si>
    <t>Компьютерная томография толстого кишечника (виртуальная колоноскопия, колонография)</t>
  </si>
  <si>
    <t>C03.018.006</t>
  </si>
  <si>
    <t xml:space="preserve">Компьютерная томография головного мозга с контрастированием </t>
  </si>
  <si>
    <t>C03.011.006</t>
  </si>
  <si>
    <t xml:space="preserve">Компьютерная томография шеи с контрастированием </t>
  </si>
  <si>
    <t>C03.012.006</t>
  </si>
  <si>
    <t xml:space="preserve">Компьютерная томография органов грудной клетки с контрастированием </t>
  </si>
  <si>
    <t>C03.013.006</t>
  </si>
  <si>
    <t xml:space="preserve">Компьютерная томография органов брюшной полости и забрюшинного пространства с контрастированием </t>
  </si>
  <si>
    <t>C03.015.006</t>
  </si>
  <si>
    <t xml:space="preserve">Компьютерная томография органов малого таза с контрастированием </t>
  </si>
  <si>
    <t>C03.016.006</t>
  </si>
  <si>
    <t>Компьютерная томография мочевыделительной системы с контрастированием (брюшная полость и таз)</t>
  </si>
  <si>
    <t>Компьютерная трех зон с контрастированием (ОГК, ОБП и таз)</t>
  </si>
  <si>
    <t>Компьютерная томография с контрастированием per os</t>
  </si>
  <si>
    <t>C03.015.006.1</t>
  </si>
  <si>
    <t>Компьютерная томография энтерография с контрастированием per os</t>
  </si>
  <si>
    <t>C03.015.006.2</t>
  </si>
  <si>
    <t>Компьютерная томография энтерография с контрастированием per os + в/в болюсное контрастирование</t>
  </si>
  <si>
    <t>Компьютерная томография сосудов  сердца с контрастированием</t>
  </si>
  <si>
    <t>Компьютерная томография прочих органов с контрастированием</t>
  </si>
  <si>
    <t>C03.017.006</t>
  </si>
  <si>
    <t>Компьютерно-томографическая ангиография (КТА) 1 анатомическая зона</t>
  </si>
  <si>
    <t>КТ кавернозография</t>
  </si>
  <si>
    <t>C03.016.006.2</t>
  </si>
  <si>
    <t>Компьютерная томография молочных желёз и ОГК (лёгких) (скрининг)</t>
  </si>
  <si>
    <t xml:space="preserve">Комплексное компьютерное томографическое исследование молочных желёз и органов грудной клетки (ОГК) с внутривенным болюсным контрастированием </t>
  </si>
  <si>
    <t>Магниторезонансная томография головного мозга</t>
  </si>
  <si>
    <t>C03.001.007</t>
  </si>
  <si>
    <t>Магниторезонансная томография головного мозга + ангиорежим</t>
  </si>
  <si>
    <t>C03.001.007.1</t>
  </si>
  <si>
    <t>МР-ангиография (безконтрастная) досмотр</t>
  </si>
  <si>
    <t>Магниторезонансная томография головного мозга с контрастированием</t>
  </si>
  <si>
    <t>C03.008.007</t>
  </si>
  <si>
    <t>Магниторезонансная томография костей/суставов</t>
  </si>
  <si>
    <t>C03.005.007</t>
  </si>
  <si>
    <t>Магниторезонансная томография костей/суставов с контрастированием</t>
  </si>
  <si>
    <t>C03.012.007</t>
  </si>
  <si>
    <t>Магниторезонансная томография молочных желез с динамическим контрастным усилением</t>
  </si>
  <si>
    <t>C03.016.007</t>
  </si>
  <si>
    <t>Магниторезонансная томография органов брюшной полости и забрюшинного пространства</t>
  </si>
  <si>
    <t>C03.003.007</t>
  </si>
  <si>
    <t>Магниторезонансная томография органов брюшной полости и забрюшинного пространства + холангиорежим</t>
  </si>
  <si>
    <t>C03.003.007.1</t>
  </si>
  <si>
    <t>Магниторезонансная томография органов брюшной полости и забрюшинного пространства с контрастированием</t>
  </si>
  <si>
    <t>C03.010.007</t>
  </si>
  <si>
    <t>Магниторезонансная томография органов таза</t>
  </si>
  <si>
    <t>C03.004.007</t>
  </si>
  <si>
    <t>Магниторезонансная томография органов таза с контрастированием</t>
  </si>
  <si>
    <t>C03.011.007</t>
  </si>
  <si>
    <t>Магниторезонансная томография позвоночника (1 анатомическая зона)</t>
  </si>
  <si>
    <t>C03.006.007</t>
  </si>
  <si>
    <t>Магниторезонансная томография позвоночника (2 анатомические зоны)</t>
  </si>
  <si>
    <t>Магниторезонансная томография поясничного отдела позвоночника и подвздошно крестцовых сочлененией</t>
  </si>
  <si>
    <t>Магниторезонансная томография позвоночника с контрастированием (1 анатомическая зона)</t>
  </si>
  <si>
    <t>C03.013.007</t>
  </si>
  <si>
    <t xml:space="preserve">Магниторезонансная томография позвоночника (3 анатомические зоны) </t>
  </si>
  <si>
    <t>Магниторезонансная томография  подвздошно крестцовых сочлененией и тазобедренных суставов</t>
  </si>
  <si>
    <t xml:space="preserve">Магниторезонансная томография поясничного отдела позвоночника, подвздошно крестцовых сочленений и тазобедренных суставов </t>
  </si>
  <si>
    <t>Магниторезонансная томография прочих органов</t>
  </si>
  <si>
    <t>C03.007.007</t>
  </si>
  <si>
    <t>Магниторезонансная томография прочих органов с контрастированием</t>
  </si>
  <si>
    <t>C03.014.007</t>
  </si>
  <si>
    <t>Магниторезонансная томография сердца</t>
  </si>
  <si>
    <t>C03.017.007.1</t>
  </si>
  <si>
    <t>Магниторезонансная томография сердца с контрастированием</t>
  </si>
  <si>
    <t>C03.017.007</t>
  </si>
  <si>
    <t xml:space="preserve">Магниторезонансная  томография энтерография с контрастированием </t>
  </si>
  <si>
    <t>C03.014.007.1</t>
  </si>
  <si>
    <t>Обзорная урография</t>
  </si>
  <si>
    <t>C03.056.005</t>
  </si>
  <si>
    <t>Обзорная рентгенография органов брюшной полости</t>
  </si>
  <si>
    <t>C03.028.005</t>
  </si>
  <si>
    <t>Рентгенография черепа, две проекции</t>
  </si>
  <si>
    <t>C03.004.005</t>
  </si>
  <si>
    <t>Рентгенография турецкого седла</t>
  </si>
  <si>
    <t>C03.007.005</t>
  </si>
  <si>
    <t>Рентгенография височных костей (по Стенверсу, Шюллеру, Майеру)</t>
  </si>
  <si>
    <t>C03.070.005</t>
  </si>
  <si>
    <t>Рентгенография пазух носа</t>
  </si>
  <si>
    <t>C03.069.005</t>
  </si>
  <si>
    <t>Рентгенография костей носа</t>
  </si>
  <si>
    <t>C03.009.005</t>
  </si>
  <si>
    <t>Рентгенография шейного отдела позвоночника</t>
  </si>
  <si>
    <t>C03.015.005</t>
  </si>
  <si>
    <t>Рентгенография шейного отдела позвоночника с функциональными пробами, две проекции</t>
  </si>
  <si>
    <t>C03.016.005</t>
  </si>
  <si>
    <t>C03.017.005</t>
  </si>
  <si>
    <t>Рентгенография пояснично-крестцового отдела позвоночника с функциональными пробами</t>
  </si>
  <si>
    <t>C03.042.005.1</t>
  </si>
  <si>
    <t>Рентгенография грудной клетки в прямой проекции</t>
  </si>
  <si>
    <t>C03.019.005.2</t>
  </si>
  <si>
    <t>Рентгенография грудной клетки в  боковой проекции</t>
  </si>
  <si>
    <t>C03.019.005.1</t>
  </si>
  <si>
    <t>Рентгенография грудной клетки в  2-х проекциях</t>
  </si>
  <si>
    <t>C03.019.005</t>
  </si>
  <si>
    <t>Рентгенография ребер</t>
  </si>
  <si>
    <t>C03.022.005</t>
  </si>
  <si>
    <t>Рентгенография грудины</t>
  </si>
  <si>
    <t>C03.023.005</t>
  </si>
  <si>
    <t>Рентгенография ключицы</t>
  </si>
  <si>
    <t>C03.024.005</t>
  </si>
  <si>
    <t>Рентгенография лопатки</t>
  </si>
  <si>
    <t>C03.095.005</t>
  </si>
  <si>
    <t>Рентгенография костей плеча</t>
  </si>
  <si>
    <t>C03.037.005</t>
  </si>
  <si>
    <t>Рентгенография костей предплечья</t>
  </si>
  <si>
    <t>C03.096.005</t>
  </si>
  <si>
    <t>Рентгенография костей голени</t>
  </si>
  <si>
    <t>C03.046.005</t>
  </si>
  <si>
    <t>Рентгенография стопы</t>
  </si>
  <si>
    <t>C03.049.005</t>
  </si>
  <si>
    <t>Рентгенография локтевого сустава</t>
  </si>
  <si>
    <t>C03.038.005</t>
  </si>
  <si>
    <t>Рентгенография плечевого сустава</t>
  </si>
  <si>
    <t>C03.039.005</t>
  </si>
  <si>
    <t>Рентгенография кисти с захватом лучезапястного сустава</t>
  </si>
  <si>
    <t>C03.040.005</t>
  </si>
  <si>
    <t xml:space="preserve">Рентгенография костей таза </t>
  </si>
  <si>
    <t>C03.043.005</t>
  </si>
  <si>
    <t>Рентгенография коленного сустава (2 проекции)</t>
  </si>
  <si>
    <t>C03.101.005</t>
  </si>
  <si>
    <t>Рентгенография голеностопного сустава (2 проекции)</t>
  </si>
  <si>
    <t>C03.103.005</t>
  </si>
  <si>
    <t>Рентгенография тазобедренного сустава</t>
  </si>
  <si>
    <t>C03.099.005</t>
  </si>
  <si>
    <t>Рентгенография бедренной кости</t>
  </si>
  <si>
    <t>C03.045.005</t>
  </si>
  <si>
    <t>Рентгенография крестцово-копчикового отдела</t>
  </si>
  <si>
    <t>C03.098.005</t>
  </si>
  <si>
    <t>Рентгенография крестцово-подвздошных сочленений</t>
  </si>
  <si>
    <t>C03.044.005</t>
  </si>
  <si>
    <t>Рентгенография пояснично-крестцового отдела позвоночника</t>
  </si>
  <si>
    <t>C03.041.005</t>
  </si>
  <si>
    <t>Рентгенография пяточных костей</t>
  </si>
  <si>
    <t>C03.046.005.1</t>
  </si>
  <si>
    <t>Рентгеноскопическое исследование желудка и двенадцатиперстной кишки</t>
  </si>
  <si>
    <t>C03.032.005.1</t>
  </si>
  <si>
    <t>Рентгеноскопическое исследование пищевода</t>
  </si>
  <si>
    <t>C03.031.005.1</t>
  </si>
  <si>
    <t>Рентгенография пальцев кисти/стопы</t>
  </si>
  <si>
    <t>C03.048.005</t>
  </si>
  <si>
    <t>Рентгенография стоп в боковой проекции</t>
  </si>
  <si>
    <t>C03.050.005</t>
  </si>
  <si>
    <t>Цистография нисходящая</t>
  </si>
  <si>
    <t>C03.061.005</t>
  </si>
  <si>
    <t>Цистография восходящая</t>
  </si>
  <si>
    <t>C03.062.005</t>
  </si>
  <si>
    <t>Фистулография</t>
  </si>
  <si>
    <t>C03.066.005</t>
  </si>
  <si>
    <t>Экскреторная урография 50,0мл</t>
  </si>
  <si>
    <t>C03.058.005.1</t>
  </si>
  <si>
    <t>Экскреторная урография 100,0мл</t>
  </si>
  <si>
    <t>C03.058.005.2</t>
  </si>
  <si>
    <t>Дополнительное применение контрастного препарата при КТ или МРТ исследовании</t>
  </si>
  <si>
    <t>С03.017.009</t>
  </si>
  <si>
    <t>Дуктография 1 молочной железы</t>
  </si>
  <si>
    <t>C03.085.005.1</t>
  </si>
  <si>
    <t>Дуктография 2 молочных желез</t>
  </si>
  <si>
    <t>C03.085.005.2</t>
  </si>
  <si>
    <t>Комплексная услуга маммография + УЗИ молочных желез</t>
  </si>
  <si>
    <t>C03.899.005</t>
  </si>
  <si>
    <t>Комплексная услуга томосинтез + УЗИ молочных желез</t>
  </si>
  <si>
    <t>C03.989.006</t>
  </si>
  <si>
    <t>Маммография биоматериала</t>
  </si>
  <si>
    <t>C03.084.005</t>
  </si>
  <si>
    <t xml:space="preserve">Маммография двух молочных желез в 2 проекциях (4 снимка) </t>
  </si>
  <si>
    <t>C03.082.005</t>
  </si>
  <si>
    <t>Маммография двух молочных желез в 2 проекциях с имплантами</t>
  </si>
  <si>
    <t>C03.082.005.5</t>
  </si>
  <si>
    <t xml:space="preserve">Маммография одной молочной железы в 2 проекциях (2 снимка) </t>
  </si>
  <si>
    <t>C03.082.005.1</t>
  </si>
  <si>
    <t>Маммография одной молочной железы в 2 проекциях с имплантами</t>
  </si>
  <si>
    <t>C03.082.005.3</t>
  </si>
  <si>
    <t xml:space="preserve">Описание маммографии двух молочных желез в 2 проекциях (4 снимка) </t>
  </si>
  <si>
    <t>E02.017.000</t>
  </si>
  <si>
    <t xml:space="preserve">Описание маммографии одной молочной железы в 2 проекциях (2 снимка) </t>
  </si>
  <si>
    <t>Прицельная маммография (1 проекция)</t>
  </si>
  <si>
    <t>Прицельная маммография одной молочной железы с увеличением в 2 проекции</t>
  </si>
  <si>
    <t>C03.084.005.1</t>
  </si>
  <si>
    <t>Прокрашивание одного протока метиленовой синью</t>
  </si>
  <si>
    <t>Распечатка маммографических снимков</t>
  </si>
  <si>
    <t xml:space="preserve"> 
E02.017.000</t>
  </si>
  <si>
    <t>Томосинтез 1 молочной железы в 2 проекциях</t>
  </si>
  <si>
    <t xml:space="preserve"> 
C03.991.006</t>
  </si>
  <si>
    <t>Томосинтез 1 молочной железы в 2 проекциях с имплантами</t>
  </si>
  <si>
    <t>C03.990.006</t>
  </si>
  <si>
    <t>Томосинтез 2 молочных желез в 2 проекциях</t>
  </si>
  <si>
    <t>Томосинтез 2 молочных желез в 2 проекциях с имплантами</t>
  </si>
  <si>
    <t>Трепанбиопсия под контролем маммографии с гистологическим исследованием - 1 образование</t>
  </si>
  <si>
    <t>Трепанбиопсия под контролем маммографии с гистологическим исследованием - 2 образования</t>
  </si>
  <si>
    <t>Трепанбиопсия под контролем маммографии с гистологическим исследованием - 3 образования</t>
  </si>
  <si>
    <t>Подраздел Ультразвуковой визуализации и функциональной диагностики</t>
  </si>
  <si>
    <t>Диагностическая пункционная биопсия под контролем УЗИ для гистологии</t>
  </si>
  <si>
    <t>D88.790.001.1</t>
  </si>
  <si>
    <t>Диагностическая пункционная биопсия под контролем УЗИ для цитологии</t>
  </si>
  <si>
    <t>D88.790.001.3</t>
  </si>
  <si>
    <t xml:space="preserve">Пункционная/аспирационная биопсия под УЗИ контролем </t>
  </si>
  <si>
    <t>Пункция полости перикарда</t>
  </si>
  <si>
    <t>D89.700.020.1</t>
  </si>
  <si>
    <t xml:space="preserve">Стресс-эхокардиография </t>
  </si>
  <si>
    <t>C02.013.000</t>
  </si>
  <si>
    <t>Спирография при записи на автоматизированных аппаратах</t>
  </si>
  <si>
    <t>C02.033.000</t>
  </si>
  <si>
    <t>Спирография с функциональными пробами (фармакологическая, физическая нагрузка) на автоматизированных аппаратах</t>
  </si>
  <si>
    <t>C02.034.000</t>
  </si>
  <si>
    <t>Суточное мониторирование артериального давления (24 часа)</t>
  </si>
  <si>
    <t>C02.009.000</t>
  </si>
  <si>
    <t>Чреспищеводная эхография</t>
  </si>
  <si>
    <t>C02.015.000</t>
  </si>
  <si>
    <t xml:space="preserve">Холтеровское мониторирование электрокардиограммы (24 часа) </t>
  </si>
  <si>
    <t>C02.008.000</t>
  </si>
  <si>
    <t xml:space="preserve">УЗИ гепатобилиопанкреатической области (печень, желчный пузырь, поджелудочная железа, селезенка) </t>
  </si>
  <si>
    <t>C03.001.004</t>
  </si>
  <si>
    <t xml:space="preserve">Узи гинекологическое </t>
  </si>
  <si>
    <t>C03.983.004.1</t>
  </si>
  <si>
    <t>Узи гинекологическое (трансвагинальное)</t>
  </si>
  <si>
    <t>C03.029.004</t>
  </si>
  <si>
    <t>Узи глаз (один глаз)</t>
  </si>
  <si>
    <t>УЗИ лимфатических узлов (одна анатомическая зона)</t>
  </si>
  <si>
    <t>C03.014.004.1</t>
  </si>
  <si>
    <t xml:space="preserve">Узи молочных желез </t>
  </si>
  <si>
    <t>C03.018.004</t>
  </si>
  <si>
    <t>УЗИ мочевого пузыря с определением остаточной мочи</t>
  </si>
  <si>
    <t>C03.012.004</t>
  </si>
  <si>
    <t xml:space="preserve">Узи почек </t>
  </si>
  <si>
    <t>C03.006.004</t>
  </si>
  <si>
    <t>УЗИ трансплантанта с допплерографией</t>
  </si>
  <si>
    <t>C03.037.004.1</t>
  </si>
  <si>
    <t xml:space="preserve">Узи щитовидной железы </t>
  </si>
  <si>
    <t>C03.017.004</t>
  </si>
  <si>
    <t>УЗИ трансректальное предстательной железы и мочевого пузыря</t>
  </si>
  <si>
    <t>C03.015.004</t>
  </si>
  <si>
    <t>УЗИ мягких тканей</t>
  </si>
  <si>
    <t>C03.023.004</t>
  </si>
  <si>
    <t>УЗИ органов мошонки</t>
  </si>
  <si>
    <t>C03.016.004</t>
  </si>
  <si>
    <t>УЗИ плевры и плевральной полости</t>
  </si>
  <si>
    <t>C03.022.004</t>
  </si>
  <si>
    <t xml:space="preserve">УЗИ одного сустава конечностей </t>
  </si>
  <si>
    <t>C03.037.004</t>
  </si>
  <si>
    <t>УЗИ трансректальное предстательной железы</t>
  </si>
  <si>
    <t>C03.014.004</t>
  </si>
  <si>
    <t>УЗИ легких</t>
  </si>
  <si>
    <t>C03.021.004</t>
  </si>
  <si>
    <t>Комплексное УЗИ органов (брюшная полость,  почки и забрюшинное пространство)</t>
  </si>
  <si>
    <t xml:space="preserve"> 
C03.057.004</t>
  </si>
  <si>
    <t>УЗДГ артерий верхних конечностей (C03.016.003)</t>
  </si>
  <si>
    <t>C03.016.003</t>
  </si>
  <si>
    <t>УЗДГ сосудов почек</t>
  </si>
  <si>
    <t>C03.008.003</t>
  </si>
  <si>
    <t>УЗДГ брахиоцефального ствола</t>
  </si>
  <si>
    <t>C03.002.003</t>
  </si>
  <si>
    <t xml:space="preserve">УЗДГ брюшного отдела аорты и ее ветвей </t>
  </si>
  <si>
    <t>C03.005.003</t>
  </si>
  <si>
    <t>УЗДГ вен  нижних конечностей</t>
  </si>
  <si>
    <t>C03.013.003</t>
  </si>
  <si>
    <t xml:space="preserve">УЗДГ сосудов плода </t>
  </si>
  <si>
    <t>C03.001.003</t>
  </si>
  <si>
    <t>УЗДГ сосудов печени</t>
  </si>
  <si>
    <t>C03.006.003</t>
  </si>
  <si>
    <t>УЗДГ артерий нижних конечностей (C03.012.003)</t>
  </si>
  <si>
    <t>C03.011.003</t>
  </si>
  <si>
    <t>УЗДГ сосудов полового члена</t>
  </si>
  <si>
    <t>C03.010.003</t>
  </si>
  <si>
    <t>Электрокардиографическое исследование (в 12 отведениях) с расшифровкой</t>
  </si>
  <si>
    <t>C02.001.000</t>
  </si>
  <si>
    <t>Электрокардиографическое исследование (в 12 отведениях) без расшифровки</t>
  </si>
  <si>
    <t>C02.001.000.1</t>
  </si>
  <si>
    <t>Расшифровка электрокардиограммы (12 отведений) (E01.001.000)</t>
  </si>
  <si>
    <t>E01.001.000</t>
  </si>
  <si>
    <t>Электрокардиографическое исследование с дозированной физической нагрузкой (тредмил, велоэргометр)</t>
  </si>
  <si>
    <t>C02.004.000</t>
  </si>
  <si>
    <t>Электроэнцефалография</t>
  </si>
  <si>
    <t>C02.020.000</t>
  </si>
  <si>
    <t>Эхокардиография</t>
  </si>
  <si>
    <t>C02.012.000</t>
  </si>
  <si>
    <t>Эхоэнцефалография</t>
  </si>
  <si>
    <t>C03.020.004</t>
  </si>
  <si>
    <t>Электромиография игольчатая</t>
  </si>
  <si>
    <t>C02.045.000</t>
  </si>
  <si>
    <t>УЗДГ вен верхних конечностей</t>
  </si>
  <si>
    <t>C03.014.003</t>
  </si>
  <si>
    <t>ЦЕНТРАЛЬНАЯ НАУЧНО - ИССЛЕДОВАТЕЛЬСКАЯ ЛАБОРАТОРИЯ</t>
  </si>
  <si>
    <t>КЛИНИКО- ДИАГНОСТИЧЕСКАЯ ЛАБОРАТОРИЯ</t>
  </si>
  <si>
    <t>Иммуноферментная диагностика</t>
  </si>
  <si>
    <t>Определение альдостерона в сыворотке крови ИФА-методом</t>
  </si>
  <si>
    <t>B06.157.006</t>
  </si>
  <si>
    <t>анализ</t>
  </si>
  <si>
    <t>Определение антинуклеарных аутоантител (ANA) в сыворотке крови ИФА-методом</t>
  </si>
  <si>
    <t>B06.170.005</t>
  </si>
  <si>
    <t>Определение суммарных анти-фосфолипидных антител ИФА-методом</t>
  </si>
  <si>
    <t>B06.478.005</t>
  </si>
  <si>
    <t>Определение антинейтрофильных цитоплазматических Ig G (ANCA combi) в сыворотке крови ИФА-методом</t>
  </si>
  <si>
    <t>B06.169.005</t>
  </si>
  <si>
    <t>Определение антител к экстрагируемым ядерным антигенам (ENA) в сыворотке крови ИФА-методом</t>
  </si>
  <si>
    <t>B06.205.005</t>
  </si>
  <si>
    <t>Определение митохондриальных аутоантител (AMA M2) в сыворотке крови ИФА-методом</t>
  </si>
  <si>
    <t>B06.385.006</t>
  </si>
  <si>
    <t>Денатурированная ДНК (одноцепочная)</t>
  </si>
  <si>
    <t>B06.195.005.1</t>
  </si>
  <si>
    <t>Определение антител к двуспиральной (неденатурированной) ДНК в сыворотке крови ИФА-методом</t>
  </si>
  <si>
    <t>B06.195.005</t>
  </si>
  <si>
    <t>Определение Ig M к вирусу гепатита D в сыворотке крови ИФА-методом</t>
  </si>
  <si>
    <t>B06.284.005</t>
  </si>
  <si>
    <t>Определение суммарных антител к Opisthorchis felineus (описторхис фелинеус) и Opisthorchis viverrini (описторхис виверрини)(описторхоз) в сыворотке крови ИФА-методом</t>
  </si>
  <si>
    <t>B06.568.005</t>
  </si>
  <si>
    <t>Определение суммарных антител к Giardia intestinalis (гиардиа интестиналис) (лямблиоз) в сыворотке крови ИФА-методом</t>
  </si>
  <si>
    <t>B06.463.005</t>
  </si>
  <si>
    <t>Определение антител к Echinococcus (эхинококкус) (эхинококкоз) в сыворотке крови ИФА-методом- качественное</t>
  </si>
  <si>
    <t>B06.176.005</t>
  </si>
  <si>
    <t>Определение антител к Echinococcus  (эхинококкоз) в сыворотке крови ИФА-методом- количественное</t>
  </si>
  <si>
    <t>B06.176.005.1</t>
  </si>
  <si>
    <t>Определение в крови антител класса IgG  к спайковому (S) белку ( поствакцинальный иммунитет)</t>
  </si>
  <si>
    <t>B06.176.005.2</t>
  </si>
  <si>
    <t>Определение антител класса IgM к короновирусу  SARS CoV-2 (COVID-19) в сыворотке крови методом иммуноферментного анализа</t>
  </si>
  <si>
    <t>B06.864.005</t>
  </si>
  <si>
    <t>Определение антител класса IgG к короновирусу  SARS CoV-2 (COVID-19) в сыворотке крови методом иммуноферментного анализа</t>
  </si>
  <si>
    <t>B06.863.005</t>
  </si>
  <si>
    <t>Определение антител класса IgM, IgG к короновирусу  SARS CoV-2 (COVID-19) в сыворотке крови методом иммуноферментного анализа</t>
  </si>
  <si>
    <t>B06.863.005.1</t>
  </si>
  <si>
    <t xml:space="preserve"> Определение 17- оксипрогестерона (17-ОН-прогестерона) в сыворотке крови ИФА-методом </t>
  </si>
  <si>
    <t>B06.573.005</t>
  </si>
  <si>
    <t xml:space="preserve">Определение Ig G к Toxocara canis (токсокара канис) (токсокароз) в сыворотке крови ИФА-методом </t>
  </si>
  <si>
    <t>B06.231.005</t>
  </si>
  <si>
    <t>Определение кальпротектина в кале ИФА -методом</t>
  </si>
  <si>
    <t xml:space="preserve">Определение панкратической эластазы в кале ИФА-методом </t>
  </si>
  <si>
    <t xml:space="preserve"> Иммунограмма  </t>
  </si>
  <si>
    <t>Иммуннограмма стандартная 1 (показатели клеточного, гуморального иммунитета, иммуноглобулин Е, фагоцитарная активность лейкоцитов) методом проточной цитофлуориметрии</t>
  </si>
  <si>
    <t>B06.570.008.1</t>
  </si>
  <si>
    <t>Иммуннограмма 2 (показатели клеточного, гуморального иммунитета ) методом проточной цитофлуориметрии</t>
  </si>
  <si>
    <t>B06.570.008.2</t>
  </si>
  <si>
    <t>Иммунофенотипирование «панель для определения иммунного статуса (6 пар)» в крови методом проточной цитофлуориметрии</t>
  </si>
  <si>
    <t>B06.570.008</t>
  </si>
  <si>
    <t>Иммунофенотипирование Fagotest в крови методом проточной цитофлуориметрии</t>
  </si>
  <si>
    <t>B06.613.008</t>
  </si>
  <si>
    <t xml:space="preserve"> Метод ИХЭЛ</t>
  </si>
  <si>
    <t>Определение соматотропного гормона (СТГ) в сыворотке крови методом иммунохемилюмиц</t>
  </si>
  <si>
    <t>B06.449.006</t>
  </si>
  <si>
    <t>Определение тиреотропного гормона (ТТГ) в сыворотке крови методом иммунохемилюминесценции</t>
  </si>
  <si>
    <t>B06.484.006</t>
  </si>
  <si>
    <t>Определение общего трииодтиронина (T3) в сыворотке крови методом иммунохемилюминесценции</t>
  </si>
  <si>
    <t>B06.481.006</t>
  </si>
  <si>
    <t>Определение общего тироксина (T4) в сыворотке крови методом иммунохемилюминесценции</t>
  </si>
  <si>
    <t>B06.400.006</t>
  </si>
  <si>
    <t>Определение свободного трийодтиронина (T3) в сыворотке крови методом иммунохемилюминесценции</t>
  </si>
  <si>
    <t>B06.446.006</t>
  </si>
  <si>
    <t>Определение свободного тироксина (T4) в сыворотке крови методом иммунохемилюминесценции</t>
  </si>
  <si>
    <t>B06.445.006</t>
  </si>
  <si>
    <t>Определение ферритина в сыворотке крови методом иммунохемилюминисценции</t>
  </si>
  <si>
    <t>B06.500.006</t>
  </si>
  <si>
    <t>Определение кортизола в сыворотке крови методом иммунохемилюминесценции</t>
  </si>
  <si>
    <t>B06.361.006</t>
  </si>
  <si>
    <t>Определение лютеинизирующий гормон (ЛГ) в сыворотке крови методом иммунохемилюминесценции</t>
  </si>
  <si>
    <t>B06.369.006</t>
  </si>
  <si>
    <t>Определение  (ФСГ) в сыворотке крови методом иммунохемилюминесценции</t>
  </si>
  <si>
    <t>B06.512.006.1</t>
  </si>
  <si>
    <t>Определение прогестерона в сыворотке крови методом иммунохемилюминесценции</t>
  </si>
  <si>
    <t>B06.432.006</t>
  </si>
  <si>
    <t>Определение тестостерона в сыворотке крови методом иммунохемилюминесценции</t>
  </si>
  <si>
    <t>B06.482.006</t>
  </si>
  <si>
    <t>Определение свободного тестостерона в сыворотке крови методом иммунохемилюминесценции</t>
  </si>
  <si>
    <t>B06.482.006.1</t>
  </si>
  <si>
    <t>Определение пролактина в сыворотке крови методом иммунохемилюминесценции</t>
  </si>
  <si>
    <t>B06.433.006</t>
  </si>
  <si>
    <t>Определение эстрадиола в сыворотке крови методом иммунохемилюминесценции</t>
  </si>
  <si>
    <t>B06.527.006</t>
  </si>
  <si>
    <t>Определение дегидроэпиандростерона (ДГЭА) в сыворотке крови методом иммунохемилюминесценции</t>
  </si>
  <si>
    <t>B06.338.006</t>
  </si>
  <si>
    <t>Определение адренокортикотропный гормон (АКТГ) в сыворотке крови методом иммунохемилюминесценции</t>
  </si>
  <si>
    <t>B06.147.006</t>
  </si>
  <si>
    <t>Определение инсулина в сыворотке крови методом иммунохемилюминесценции</t>
  </si>
  <si>
    <t>B06.346.006</t>
  </si>
  <si>
    <t>Определение Ig M к вирусу гепатита A в сыворотке крови методом иммунохемилюминесценции</t>
  </si>
  <si>
    <t>B06.276.006</t>
  </si>
  <si>
    <t>Определение HBsAg поверхностный вируса гепатита B  в сыворотке крови методом иммунохемилюминесценции</t>
  </si>
  <si>
    <t>B06.127.006</t>
  </si>
  <si>
    <t>Определение HBeAg вируса гепатита B в сыворотке крови методом иммунохемилюминесценции</t>
  </si>
  <si>
    <t>B06.128.006</t>
  </si>
  <si>
    <t>Определение антител к HBeAg вируса гепатита B в сыворотке крови методом иммунохемилюминесценции</t>
  </si>
  <si>
    <t>B06.179.006</t>
  </si>
  <si>
    <t>Определение суммарных антител к HBsAg вируса гепатита B в сыворотке крови методом иммунохемилюминисценции</t>
  </si>
  <si>
    <t>B06.464.006</t>
  </si>
  <si>
    <t>Определение Ig M к HBcAg вируса гепатита B в сыворотке крови методом иммунохемилюминисценции</t>
  </si>
  <si>
    <t>B06.283.006</t>
  </si>
  <si>
    <t>Определение суммарных антител к HBcAg вируса гепатита B в сыворотке крови методом иммунохемилюминисценции</t>
  </si>
  <si>
    <t>B06.475.006</t>
  </si>
  <si>
    <t>Определение Ig G к вирусу гепатита C в сыворотке крови методом иммунохемилюминисценции</t>
  </si>
  <si>
    <t>B06.243.006</t>
  </si>
  <si>
    <t>Определение альфафетопротеина (АФП) в сыворотке крови методом иммунохемилюминесценции</t>
  </si>
  <si>
    <t>B06.123.006</t>
  </si>
  <si>
    <t>Определение ракового эмбрионального антигена (РЭА) в сыворотке крови методом иммунохемилюминесценции</t>
  </si>
  <si>
    <t>B06.442.006</t>
  </si>
  <si>
    <t>Определение хорионического гонадотропина человека (ХГЧ) в сыворотке крови методом иммунохемилюминесценции</t>
  </si>
  <si>
    <t>B06.518.006</t>
  </si>
  <si>
    <t>Определение антител к тиреопероксидазе (а-ТПО) в сыворотке крови методом иммунохемилюминесценции</t>
  </si>
  <si>
    <t>B06.202.006</t>
  </si>
  <si>
    <t>Определение паратиреоидного гормона в сыворотке крови методом иммунохемилюминесценции</t>
  </si>
  <si>
    <t>B06.423.006</t>
  </si>
  <si>
    <t>Определение C-пептида в сыворотке крови методом иммунохемилюминесценции</t>
  </si>
  <si>
    <t>B06.450.006</t>
  </si>
  <si>
    <t>Определение общего простат-специфического антигена (ПСА) в сыворотке крови методом иммунохемилюминесценции</t>
  </si>
  <si>
    <t>B06.399.006</t>
  </si>
  <si>
    <t>Определение свободного F-простат-специфический антиген (F-ПСА) в сыворотке крови методом иммунохемилюминесценции</t>
  </si>
  <si>
    <t>B06.444.006</t>
  </si>
  <si>
    <t>Определение витамина B 12 методом иммунохемилюминесценции</t>
  </si>
  <si>
    <t>B06.305.006</t>
  </si>
  <si>
    <t>Определение Витамина D в сыворотке крови ИФА-методом</t>
  </si>
  <si>
    <t>B06.304.005</t>
  </si>
  <si>
    <t>Определение фолатов методом иммунохемилюминисценции</t>
  </si>
  <si>
    <t>B06.504.006</t>
  </si>
  <si>
    <t>Определение онкомаркера немелкоклеточного рака легкого (CYFRA 21-1) в сыворотке крови методом иммунохемилюминисценции</t>
  </si>
  <si>
    <t>B06.411.006</t>
  </si>
  <si>
    <t>Определение опухолевого антигена (СА 125) в сыворотке крови методом иммунохемилюминесценции</t>
  </si>
  <si>
    <t>B06.413.006</t>
  </si>
  <si>
    <t>Определение опухолевого антигена (СА 15-3) в сыворотке крови методом иммунохемилюминесценции</t>
  </si>
  <si>
    <t>B06.414.006</t>
  </si>
  <si>
    <t>Определение опухолевого антигена (СА 19-9) в сыворотке крови методом иммунохемилюминесценции</t>
  </si>
  <si>
    <t>B06.415.006</t>
  </si>
  <si>
    <t>Определение тиреоглобулина в сыворотке крови методом иммунохемилюминесценции</t>
  </si>
  <si>
    <t>B06.483.006</t>
  </si>
  <si>
    <t>Определение нейрон - специфической энолазы (NSE) в сыворотке крови методом иммунохемилюминесценции</t>
  </si>
  <si>
    <t>B06.392.006</t>
  </si>
  <si>
    <t>Определение Ig E в сыворотке крови методом иммунохемилюминисценции</t>
  </si>
  <si>
    <t>B06.406.006</t>
  </si>
  <si>
    <t>Определение опухолевого антигена (СА 72-4) в сыворотке крови методом иммунохемилюминесценции</t>
  </si>
  <si>
    <t>B06.416.006</t>
  </si>
  <si>
    <t>Определение антител к тиреоглобулину (АТ к ТГ) в сыворотке крови методом иммунохемилюминесценции</t>
  </si>
  <si>
    <t>B06.204.006</t>
  </si>
  <si>
    <t>Диагностика хронической сердечной недостаточности pro-BNP (натрийуретические пептиды) в сыворотке крови методом иммунохемилюминесценции</t>
  </si>
  <si>
    <t>B06.057.006</t>
  </si>
  <si>
    <t>Определение глобулинсвязывающего полового гормона (ГСПГ) в сыворотке крови методом иммунохемилюминесценции</t>
  </si>
  <si>
    <t>B06.337.006</t>
  </si>
  <si>
    <t xml:space="preserve">Определение прокальцитонина в сыворотке крови методом иммунохемилюминисценции </t>
  </si>
  <si>
    <t>B06.561.006</t>
  </si>
  <si>
    <t>Определение цитокинов-ИЛ-6 в сыворотке крови ИФА-методом</t>
  </si>
  <si>
    <t>B06.524.005</t>
  </si>
  <si>
    <t>Определение аутоиммунных антител к циклическим цитруллиновым пептидам (АЦПП) в сыворотке крови методом иммунохемилюминисции</t>
  </si>
  <si>
    <t>B06.296.006</t>
  </si>
  <si>
    <t>Определение опухолевого маркера рака яичников (НЕ-4) в сыворотке крови методом иммунохемилюминисценции</t>
  </si>
  <si>
    <t xml:space="preserve"> B06.418.006</t>
  </si>
  <si>
    <t>Определение авидности антител к вирусам простого герпеса 1/2 типа (ВПГ-I,II) в сыворотке крови ИФА-методом</t>
  </si>
  <si>
    <t>B06.571.005</t>
  </si>
  <si>
    <t>Определение Ig G к Chlamydia trachomatis (хламидиа трахоматис) в сыворотке крови ИФА-методом</t>
  </si>
  <si>
    <t>B06.219.005</t>
  </si>
  <si>
    <t>Определение Ig M к Chlamydia trachomatis (хламидиа трахоматис) в сыворотке крови ИФА-методом</t>
  </si>
  <si>
    <t>B06.263.005</t>
  </si>
  <si>
    <t>Определение Ig G к цитомегаловирусу (ВПГ-V) в сыворотке крови ИФА-методом</t>
  </si>
  <si>
    <t>B06.132.005</t>
  </si>
  <si>
    <t>Определение Ig M к цитомегаловирусу (ВПГ-V) в сыворотке крови ИФА-методом</t>
  </si>
  <si>
    <t>B06.134.005</t>
  </si>
  <si>
    <t>Определение Ig G к Toxoplasma gondii (токсоплазма гондии) (токсоплазмоз) в сыворотке крови ИФА-методом</t>
  </si>
  <si>
    <t>B06.232.005</t>
  </si>
  <si>
    <t>Определение Ig M к Toxoplasma gondii (токсоплазма гондии) (токсоплазмоз) в сыворотке крови ИФА-методом</t>
  </si>
  <si>
    <t>B06.269.005</t>
  </si>
  <si>
    <t>Определение Ig G к вирусам простого герпеса 1 и 2 типа (ВПГ-I, II) в сыворотке крови ИФА-методом</t>
  </si>
  <si>
    <t>B06.242.005</t>
  </si>
  <si>
    <t>Определение Ig M к вирусам простого герпеса 1 и 2 типа (ВПГ-I,II) в сыворотке крови ИФА-методом</t>
  </si>
  <si>
    <t>B06.275.005</t>
  </si>
  <si>
    <t>Определение Ig G к возбудителю краснухи в сыворотке крови ИФА-методом</t>
  </si>
  <si>
    <t>B06.248.005</t>
  </si>
  <si>
    <t>Определение Ig M к возбудителю краснухи в сыворотке крови ИФА-методом</t>
  </si>
  <si>
    <t>B06.287.005</t>
  </si>
  <si>
    <t>Биохимия</t>
  </si>
  <si>
    <t>Определение гаммаглютамилтранспептидазы (ГГТП) в сыворотке крови на анализаторе</t>
  </si>
  <si>
    <t>B03.316.002</t>
  </si>
  <si>
    <t>Определение аланинаминотрансферазы (АЛаТ) в сыворотке крови на анализаторе</t>
  </si>
  <si>
    <t>B03.155.002</t>
  </si>
  <si>
    <t>Определение общей альфа-амилазы в сыворотке крови на анализаторе</t>
  </si>
  <si>
    <t>B03.403.002</t>
  </si>
  <si>
    <t>Определение амилазы панкреатической в сыворотке крови на анализаторе</t>
  </si>
  <si>
    <t>B03.160.002</t>
  </si>
  <si>
    <t>Определение аспартатаминотрансферазы (АСаТ) в сыворотке крови на анализаторе</t>
  </si>
  <si>
    <t>B03.293.002</t>
  </si>
  <si>
    <t>Определение компонентов комплимента C3 в сыворотке крови на анализаторе</t>
  </si>
  <si>
    <t>B03.359.002</t>
  </si>
  <si>
    <t>Определение компонентов комплимента C4 в сыворотке крови на анализаторе</t>
  </si>
  <si>
    <t>B03.360.002</t>
  </si>
  <si>
    <t>Определение креатинфосфокиназы (КФК) в сыворотке крови на анализаторе</t>
  </si>
  <si>
    <t>B03.364.002</t>
  </si>
  <si>
    <t>Определение креатинфосфокиназы фракция МВ (КФК-МВ) в сыворотке крови на анализаторе</t>
  </si>
  <si>
    <t>B03.365.002</t>
  </si>
  <si>
    <t>Определение лактатдегидрогиназы (ЛДГ) в сыворотке крови на анализаторе</t>
  </si>
  <si>
    <t>B03.367.002</t>
  </si>
  <si>
    <t>Определение глюкозы в сыворотке крови на анализаторе</t>
  </si>
  <si>
    <t>B03.335.002</t>
  </si>
  <si>
    <t>Определение кальция (Ca) в сыворотке крови на анализаторе</t>
  </si>
  <si>
    <t>B03.353.002</t>
  </si>
  <si>
    <t>Определение креатинина в сыворотке крови на анализаторе</t>
  </si>
  <si>
    <t>B03.363.002</t>
  </si>
  <si>
    <t>Определение альбумина в сыворотке крови на анализаторе</t>
  </si>
  <si>
    <t>B03.156.002</t>
  </si>
  <si>
    <t>Определение магния (Mg) в сыворотке крови на анализаторе</t>
  </si>
  <si>
    <t>B03.375.002</t>
  </si>
  <si>
    <t>Определение общего белка в сыворотке крови на анализаторе</t>
  </si>
  <si>
    <t>B03.397.002</t>
  </si>
  <si>
    <t>Определение мочевины в сыворотке крови на анализаторе</t>
  </si>
  <si>
    <t>B03.386.002</t>
  </si>
  <si>
    <t>Определение мочевой кислоты в сыворотке крови на анализаторе</t>
  </si>
  <si>
    <t>B03.387.002</t>
  </si>
  <si>
    <t>Определение железа (Fe) в сыворотке крови на анализаторе</t>
  </si>
  <si>
    <t>B03.340.002</t>
  </si>
  <si>
    <t>Определение прямого билирубина в сыворотке крови на анализаторе</t>
  </si>
  <si>
    <t>B03.435.002</t>
  </si>
  <si>
    <t>Определение общего билирубина в сыворотке крови на анализаторе</t>
  </si>
  <si>
    <t>B03.398.002</t>
  </si>
  <si>
    <t>Определение общего холестерина в сыворотке крови на анализаторе</t>
  </si>
  <si>
    <t>B03.401.002</t>
  </si>
  <si>
    <t>Определение липопротеидов высокой плотности в сыворотке крови на анализаторе</t>
  </si>
  <si>
    <t>B03.371.002</t>
  </si>
  <si>
    <t>Определение липопротеидов низкой плотности в сыворотке крови на анализаторе</t>
  </si>
  <si>
    <t>B03.372.002</t>
  </si>
  <si>
    <t>Определение суточной протеинурии в моче на анализаторе</t>
  </si>
  <si>
    <t>B01.479.002</t>
  </si>
  <si>
    <t>Определение триглицеридов в сыворотке крови на анализаторе</t>
  </si>
  <si>
    <t>B03.486.002</t>
  </si>
  <si>
    <t>Определение фосфора (P) в сыворотке крови на анализаторе</t>
  </si>
  <si>
    <t>B03.850.002</t>
  </si>
  <si>
    <t>Определение щелочной фосфатазы в сыворотке крови на анализаторе</t>
  </si>
  <si>
    <t>B03.526.002</t>
  </si>
  <si>
    <t>Определение Ig A (общий) в сыворотке крови на анализаторе</t>
  </si>
  <si>
    <t>B06.405.012</t>
  </si>
  <si>
    <t>Определение Ig M (общий) в сыворотке крови на анализаторе</t>
  </si>
  <si>
    <t>B06.408.012</t>
  </si>
  <si>
    <t>Определение Ig G (общий) в сыворотке крови на анализаторе</t>
  </si>
  <si>
    <t>B06.407.012</t>
  </si>
  <si>
    <t>Определение «C» реактивного белка (СРБ) в сыворотке крови количественно</t>
  </si>
  <si>
    <t>B03.115.002</t>
  </si>
  <si>
    <t>Определение ревматоидного фактора в сыворотке крови количественно на анализаторе</t>
  </si>
  <si>
    <t>B03.437.002</t>
  </si>
  <si>
    <t>Определение антистрептолизина «O» в сыворотке крови количественно на анализаторе</t>
  </si>
  <si>
    <t>B03.206.002</t>
  </si>
  <si>
    <t>Определение церулоплазмина в сыворотке крови на анализаторе</t>
  </si>
  <si>
    <t>B03.519.002</t>
  </si>
  <si>
    <t>Определение гликозилированного гемоглобина в крови на анализаторе</t>
  </si>
  <si>
    <t>B03.328.002</t>
  </si>
  <si>
    <t>Определение калия (K) в сыворотке крови ручным методом</t>
  </si>
  <si>
    <t>B03.348.001</t>
  </si>
  <si>
    <t>Определение натрия (Na) в сыворотке крови ручным методом</t>
  </si>
  <si>
    <t>B03.389.001</t>
  </si>
  <si>
    <t>Проба Реберга на анализаторе</t>
  </si>
  <si>
    <t>B03.538.002</t>
  </si>
  <si>
    <t>Определение меди (Cu) в сыворотке крови на анализаторе</t>
  </si>
  <si>
    <t>B03.378.002</t>
  </si>
  <si>
    <t>Определение криоглобулинов в сыворотке крови на анализаторе</t>
  </si>
  <si>
    <t>B03.554.002</t>
  </si>
  <si>
    <t>Электрофорез белковых фракций в сыворотке крови и других биологических жидкостях на анализаторе</t>
  </si>
  <si>
    <t>B03.557.002</t>
  </si>
  <si>
    <t>Определение осмолярности крови на анализаторе</t>
  </si>
  <si>
    <t>B03.419.002</t>
  </si>
  <si>
    <t>Определение осмолярности мочи на анализаторе</t>
  </si>
  <si>
    <t>B03.420.002</t>
  </si>
  <si>
    <t>Определение фосфора (P) в моче  на анализаторе</t>
  </si>
  <si>
    <t>B03.420.002.1</t>
  </si>
  <si>
    <t>Определение мочевой кислоты в моче на анализаторе</t>
  </si>
  <si>
    <t>B03.420.002.2</t>
  </si>
  <si>
    <t>Определение кальция (Ca) в моче на анализаторе</t>
  </si>
  <si>
    <t>B03.352.002</t>
  </si>
  <si>
    <t>Определение натрия (Na) в моче ручным методом</t>
  </si>
  <si>
    <t>B03.388.002.1</t>
  </si>
  <si>
    <t>Определение калия (K) в моче ручным методом</t>
  </si>
  <si>
    <t>B03.347.002.2</t>
  </si>
  <si>
    <t>Определение мочевины в моче на анализаторе</t>
  </si>
  <si>
    <t>B03.347.002.1</t>
  </si>
  <si>
    <t>Определение креатинина в моче на анализаторе</t>
  </si>
  <si>
    <t>B03.362.002</t>
  </si>
  <si>
    <t>Определение общей альфа-амилазы в моче на анализаторе</t>
  </si>
  <si>
    <t>B03.402.002</t>
  </si>
  <si>
    <t>Определение лактата (молочной кислоты) в сыворотке крови на анализаторе</t>
  </si>
  <si>
    <t>B03.366.002</t>
  </si>
  <si>
    <t>Определение микроальбумина в моче на анализаторе</t>
  </si>
  <si>
    <t>B03.382.002</t>
  </si>
  <si>
    <t>Определение липазы в сыворотке крови на анализаторе</t>
  </si>
  <si>
    <t>B03.370.002</t>
  </si>
  <si>
    <t>Определение Латентная железо связывающая способность UIBC в сыворотке крови на анализаторе</t>
  </si>
  <si>
    <t>B03.394.002</t>
  </si>
  <si>
    <t>Коэффициент насыщения трансферрина железом</t>
  </si>
  <si>
    <t>Общеклинические исследования</t>
  </si>
  <si>
    <t>Исследование кала (копрограмма) общеклиническое ручным методом</t>
  </si>
  <si>
    <t>B01.073.001</t>
  </si>
  <si>
    <t>Иследование общего анализа мочи на анализаторе (физико-химические свойства с подсчетом количества клеточных элементов мочевого осадка)</t>
  </si>
  <si>
    <t>B01.077.002</t>
  </si>
  <si>
    <t>Определение кетоновых тел в моче на анализаторе</t>
  </si>
  <si>
    <t>B01.355.002</t>
  </si>
  <si>
    <t>Определение желчных пигментов в моче на анализаторе</t>
  </si>
  <si>
    <t>B01.341.002</t>
  </si>
  <si>
    <t>Определение белка Бен-Джонса в моче ручным методом</t>
  </si>
  <si>
    <t>B01.298.002.1</t>
  </si>
  <si>
    <t>Анализ мочи по Зимницкому ручным методом</t>
  </si>
  <si>
    <t>B01.004.001</t>
  </si>
  <si>
    <t>Анализ мочи по Нечипоренко ручным методом</t>
  </si>
  <si>
    <t>B01.005.001</t>
  </si>
  <si>
    <t>Исследование мокроты общеклиническое ручным методом</t>
  </si>
  <si>
    <t>B01.075.001</t>
  </si>
  <si>
    <t>Исследование кала на простейшие и гельминты ручными методами</t>
  </si>
  <si>
    <t>B01.100.001</t>
  </si>
  <si>
    <t>Обнаружение скрытой крови в кале качественное ручным методом</t>
  </si>
  <si>
    <t>B01.104.001</t>
  </si>
  <si>
    <t>Исследование дуоденального содержимого фракционно ручным методом</t>
  </si>
  <si>
    <t>B01.071.001</t>
  </si>
  <si>
    <t>Исследование спинномозговой жидкости общеклиническое ручным методом</t>
  </si>
  <si>
    <t>B01.087.001</t>
  </si>
  <si>
    <t>Исследование секрета простаты общеклиническое ручным методом</t>
  </si>
  <si>
    <t>B01.081.001</t>
  </si>
  <si>
    <t>Исследование семенной жидкости общеклиническое (исследование спермы) ручным методом</t>
  </si>
  <si>
    <t>B01.082.001</t>
  </si>
  <si>
    <t>Исследования биологического материала на демодекоз ручным методом</t>
  </si>
  <si>
    <t>Исследование транссудатов и экссудатов общеклиническое ручным методом</t>
  </si>
  <si>
    <t>B01.089.001</t>
  </si>
  <si>
    <t xml:space="preserve"> Гематологические исследования</t>
  </si>
  <si>
    <t>Общий анализ крови на анализаторе с дифференцировкой 5 классов клеток</t>
  </si>
  <si>
    <t>B02.110.002</t>
  </si>
  <si>
    <t>Подсчет ретикулоцитов с определением степени созревания на анализаторе</t>
  </si>
  <si>
    <t>B02.533.002</t>
  </si>
  <si>
    <t>Измерение скорости оседания эритроцитов (СОЭ) в крови ручным методом</t>
  </si>
  <si>
    <t>B02.061.001</t>
  </si>
  <si>
    <t>Определение времени кровотечения ручным методом</t>
  </si>
  <si>
    <t>B04.311.001</t>
  </si>
  <si>
    <t>Определение времени свертывания крови ручным методом</t>
  </si>
  <si>
    <t>B04.313.001</t>
  </si>
  <si>
    <t>Подсчет миелограммы и характеристика костно-мозгового кроветворения ручным методом</t>
  </si>
  <si>
    <t>B02.531.001</t>
  </si>
  <si>
    <t>Обнаружение LE-клеток крови ручным методом</t>
  </si>
  <si>
    <t>B02.096.001</t>
  </si>
  <si>
    <t>Определение осмотической резистентности эритроцитов крови ручным методом</t>
  </si>
  <si>
    <t>B02.421.001</t>
  </si>
  <si>
    <t>Исследование на малярию ручными методами («толстая капля», мазок крови)</t>
  </si>
  <si>
    <t>B01.101.001</t>
  </si>
  <si>
    <t>Определение глюкозы из пальца капиллярной крови</t>
  </si>
  <si>
    <t>B03.335.003</t>
  </si>
  <si>
    <t xml:space="preserve"> Исследование гемостаза</t>
  </si>
  <si>
    <t>Определение протромбинового времени (ПВ) с последующим расчетом протромбинового индекса (ПТИ) и международного нормализованного отношения (МНО) в плазме крови на анализаторе (ПВ-ПТИ-МНО)</t>
  </si>
  <si>
    <t>B04.379.002</t>
  </si>
  <si>
    <t>Определение активированного частичного тромбопластинового времени (АЧТВ) в плазме крови на анализаторе</t>
  </si>
  <si>
    <t>B04.149.002</t>
  </si>
  <si>
    <t>Определение фибриногена в плазме крови на анализаторе</t>
  </si>
  <si>
    <t>B04.501.002</t>
  </si>
  <si>
    <t>Определение тромбинового времени (ТВ) в плазме крови на анализаторе</t>
  </si>
  <si>
    <t>B04.487.002</t>
  </si>
  <si>
    <t>Определение антитромбина III в плазме крови на анализаторе</t>
  </si>
  <si>
    <t>B04.288.002</t>
  </si>
  <si>
    <t>Определение количественного D - димер в плазме крови на анализаторе</t>
  </si>
  <si>
    <t>B04.358.002</t>
  </si>
  <si>
    <t>Определение активности протеина C в плазме крови на анализаторе</t>
  </si>
  <si>
    <t>B04.153.002</t>
  </si>
  <si>
    <t>Исследование агрегации тромбоцитов на анализаторе</t>
  </si>
  <si>
    <t>B04.063.002</t>
  </si>
  <si>
    <t>Определение растворимых комплексов фибриномономеров (РФМК) в плазме крови ручным методом</t>
  </si>
  <si>
    <t>B04.436.001</t>
  </si>
  <si>
    <t xml:space="preserve"> Исследования ПЦР</t>
  </si>
  <si>
    <t>Выявление РНК вируса КВИ (COVID-19) из биологического материала методом полимеразной цепной реакции (ПЦР)</t>
  </si>
  <si>
    <t>B09.863.020.2</t>
  </si>
  <si>
    <t>Обнаружение Chlamydia spp. (хламидиа) в биологическом материале методом ПЦР</t>
  </si>
  <si>
    <t>B09.811.020</t>
  </si>
  <si>
    <t>B09.837.020</t>
  </si>
  <si>
    <t>Обнаружение Treponema pallidum (трепанема паллидум) в биологическом материале методом ПЦР</t>
  </si>
  <si>
    <t>B09.823.020</t>
  </si>
  <si>
    <t>Обнаружение Ureaplasma parvum (Уреаплазма парвум) в биологическом материале методом ПЦР</t>
  </si>
  <si>
    <t>B09.825.020.1</t>
  </si>
  <si>
    <t>Обнаружение Ureaplasma urealyticum (уреаплазма уреалитикум)в биологическом материале методом ПЦР</t>
  </si>
  <si>
    <t>B09.825.020</t>
  </si>
  <si>
    <t>Обнаружение Mycoplasma genitalium (микоплазма гениталиум) в биологическом материале методом ПЦР</t>
  </si>
  <si>
    <t>B09.852.020</t>
  </si>
  <si>
    <t>Обнаружение Mycoplasma hominis (микоплазма хоминис) в биологическом материале методом ПЦР</t>
  </si>
  <si>
    <t>B09.816.020</t>
  </si>
  <si>
    <t>Обнаружение Trichomonas vaginalis (трихомонас вагиналис) в биологическом материале методом ПЦР</t>
  </si>
  <si>
    <t>B09.824.020</t>
  </si>
  <si>
    <t>Обнаружение Gardnerella vaginalis (гарднерелла вагиналис)в биологическом материале методом ПЦР</t>
  </si>
  <si>
    <t>B09.812.020</t>
  </si>
  <si>
    <t>Обнаружение Neisseria gonorrhea (нейссериа гонореа) в биологическом материале методом ПЦР</t>
  </si>
  <si>
    <t>B09.819.020</t>
  </si>
  <si>
    <t>Обнаружение цитомегаловируса (ВПГ-V) в биологическом материале методом (мазке)  ПЦР качественное</t>
  </si>
  <si>
    <t>B09.846.020</t>
  </si>
  <si>
    <t>Обнаружение цитомегаловируса (ВПГ-V) в биологическом материале методом (крови) ПЦР количественное</t>
  </si>
  <si>
    <t>B09.847.020</t>
  </si>
  <si>
    <t xml:space="preserve">Обнаружение вирус простого герпеса 1 и 2 типов в биологическом материале (крови) методом ПЦР </t>
  </si>
  <si>
    <t>B09.828.020.1</t>
  </si>
  <si>
    <t>Обнаружение вирус простого герпеса 1 и 2 типов в биологическом материале (мазке) методом ПЦР качественное</t>
  </si>
  <si>
    <t>B09.827.020</t>
  </si>
  <si>
    <t>Обнаружение Toxoplasma gondii (токсоплазма гондии) в биологическом материале методом ПЦР качественное</t>
  </si>
  <si>
    <t>B09.821.020</t>
  </si>
  <si>
    <t>Обнаружение вируса Эпштейн - Барра (ВПГ-IV) в биологическом материале методом ПЦР качественное</t>
  </si>
  <si>
    <t>B09.839.020</t>
  </si>
  <si>
    <t>Опеределение вируса Эпштейн - Барра (ВПГ-IV) в биологическом материале методом ПЦР количественное</t>
  </si>
  <si>
    <t>B09.840.020</t>
  </si>
  <si>
    <t>Определение вируса гепатита C в биологическом материале методом ПЦР количественное</t>
  </si>
  <si>
    <t>B09.676.020</t>
  </si>
  <si>
    <t>Обнаружение РНК вируса гепатита C в биологическом материале методом ПЦР качественное</t>
  </si>
  <si>
    <t>B09.820.020</t>
  </si>
  <si>
    <t>Определение генотипа вируса гепатита C методом ПЦР</t>
  </si>
  <si>
    <t>B09.472.020</t>
  </si>
  <si>
    <t xml:space="preserve">Определение вируса гепатита B в биологическом материале методом ПЦР количественное </t>
  </si>
  <si>
    <t>B09.675.020</t>
  </si>
  <si>
    <t>Обнаружение вируса гепатита B в биологическом материале методом ПЦР качественное</t>
  </si>
  <si>
    <t>B09.841.020</t>
  </si>
  <si>
    <t>Обнаружение вируса гепатита D в биологическом материале методом ПЦР качественное</t>
  </si>
  <si>
    <t>B09.830.020.1</t>
  </si>
  <si>
    <t>Обнаружение вируса гепатита D  в биологическом материале методом ПЦР количественное</t>
  </si>
  <si>
    <t>B09.830.020.2</t>
  </si>
  <si>
    <t xml:space="preserve">Обнаружение в мазке Кандида глабрата/Кандида глабрата/ Кандида крусс  (Candida albicans, glabrata, krusei) в биологическом материале методом ПЦР </t>
  </si>
  <si>
    <t>B09.810.020.1</t>
  </si>
  <si>
    <t>Обнаружении вируса краснухи в биологическом материале методом ПЦР</t>
  </si>
  <si>
    <t>B09.849.020</t>
  </si>
  <si>
    <t>Выявление и количественное определение ДНК вируса папиломы человека высокого канцерогенного риска 16,18,31,33,35,39,45,51,52,56,58,59  из биологического материала методом полимеразной цепной реакции (ПЦР)</t>
  </si>
  <si>
    <t>B09.849.020.1</t>
  </si>
  <si>
    <t>Молекулярно-генетические тесты</t>
  </si>
  <si>
    <t>Миелоидная онкопанель (Oncomine Myeloid Research Assay) комплексный, таргетный анализ для изучения молекулярной природы миелоидного рака</t>
  </si>
  <si>
    <t>B09.776.017.5</t>
  </si>
  <si>
    <t>тесты</t>
  </si>
  <si>
    <t>Онкопанель (OncominePan-Cancer Cell-FreeAssay) - обнаружение ДНК драйверных мутаций и РНК транскриптов, полученных из опухоли и выделенных из фракции цельной крови</t>
  </si>
  <si>
    <t>B09.776.017.7</t>
  </si>
  <si>
    <t>Таргетный тест для идентификации клинически значимых соматических мутаций и изменения копийности генов образцов ДНК и РНК в 161 генах связанных с онколическими заболеваниями</t>
  </si>
  <si>
    <t>B09.776.017.1</t>
  </si>
  <si>
    <t>Секвенирование полного экзома</t>
  </si>
  <si>
    <t>B09.776.017.2</t>
  </si>
  <si>
    <t>Секвенирование генов  BRCA 1 и BRCA 2</t>
  </si>
  <si>
    <t>B09.776.017.3</t>
  </si>
  <si>
    <t>Онкопанель (Oncomine Focus)</t>
  </si>
  <si>
    <t>B09.776.017.4</t>
  </si>
  <si>
    <t>Определение мутаций в гене KRAS</t>
  </si>
  <si>
    <t>B09.861.020</t>
  </si>
  <si>
    <t>Определение мутаций в гене BRAF</t>
  </si>
  <si>
    <t>B09.860.020</t>
  </si>
  <si>
    <t>Определение мутаций в гене EGFR</t>
  </si>
  <si>
    <t>B09.862.020</t>
  </si>
  <si>
    <t>Определение мутаций в гене ALK</t>
  </si>
  <si>
    <t>B06.676.011</t>
  </si>
  <si>
    <t>Генетический паспорт СПОРТ+MIND (90 генов)</t>
  </si>
  <si>
    <t>Аутоиммунная диагностика</t>
  </si>
  <si>
    <t>Диффузные болезни соединительной ткани (ДБСТ) и Антифосфолипидный синдром (АФС)</t>
  </si>
  <si>
    <t>Антинуклеарный фактор на клеточной линии HEp-2 (АНФ)-Базовый тест</t>
  </si>
  <si>
    <t>B08.851.021.1</t>
  </si>
  <si>
    <t>Определение высокоаффинных антител к дсДНК на клетках C. Luciliae</t>
  </si>
  <si>
    <t>B08.851.021.2</t>
  </si>
  <si>
    <t>Обследование при СКВ : дсДНК и АНФ и Антифосфолипидные антитела IgG и IgM (10 антигенов- кардиолипин, фосфатидная кислота, фосфатидилхолин, фосфатидилэтаноламин, фосфатидилглицерин, фосфатидилэнозитол, фосфатидилсерин, аннексин V, бета2-гликопротеин, протромбин)</t>
  </si>
  <si>
    <t>B08.851.021.5</t>
  </si>
  <si>
    <t>Развернутая диагностика антифосфолипидного синдрома: Антифосфолипидные антитела раздельно IgG и IgM (10 антигенов- кардиолипин, фосфатидная кислота, фосфатидилхолин</t>
  </si>
  <si>
    <t>B08.851.021.4</t>
  </si>
  <si>
    <t>Скрининг болезней соединительной ткани: АНФ; ANA-18 иммунноблот (дсДНК, нуклеосомы, Sm, Sm/RNP,  рибосомы, гистоны, U1-snRNP, SS-A 60 kDa, SS-A 52 kDa, SS-B, Scl-70, CENP-A/B, Jo-1, PMScl, PCNA, AMA-M2, DFS-70, f-Actin)</t>
  </si>
  <si>
    <t>B08.851.021.3</t>
  </si>
  <si>
    <t>Определение антител IgA к Sacchаromyces cerevisiae (ASCA) методом ИФА</t>
  </si>
  <si>
    <t>B06.169.005-1</t>
  </si>
  <si>
    <t>Определение антител IgG  к Sacchаromyces cerevisiae (ASCA) методом ИФА</t>
  </si>
  <si>
    <t>B06.169.005-2</t>
  </si>
  <si>
    <t>Васкулиты и аутоиммунные поражения почек</t>
  </si>
  <si>
    <t>Дифференциальная диагностика быстропрогрессирующего гломерулонефрита и васкулитов: Антитела к базальной мембране клубочка (БМК), анти-ПР3, анти-MPO</t>
  </si>
  <si>
    <t>B08.851.021.10</t>
  </si>
  <si>
    <t>Диагностика аутоиммунного поражения почек: АНФ, БМК и анти-ПР3, анти-MPO</t>
  </si>
  <si>
    <t>B08.851.021.13</t>
  </si>
  <si>
    <t>Аутоиммунные поражения печени и ЖКТ</t>
  </si>
  <si>
    <t>Иммунодот для дифференциальной диагностики аутоиммунных заболеваний печени, IgG (антитела к gp210, sp100, LKM1, M2, SLA, F-actin, LC1)</t>
  </si>
  <si>
    <t>B08.851.021.15</t>
  </si>
  <si>
    <t xml:space="preserve">Скрининг аутоиммунных заболеваний ЖКТ: АНФ и определениe антиядерных, антимитохондриальных, антигладкомышечных, антипариетальных антител (ANA/AMA/ASMA/APCA) метод непрямой </t>
  </si>
  <si>
    <t>B08.851.021.14</t>
  </si>
  <si>
    <t>Аутоиммунные неврологические заболевания</t>
  </si>
  <si>
    <t xml:space="preserve">Развернутое обследование при полиневритах ( АНФ, ANA-8 иммуноблот (дсДНК, Sm,  RNP, SS-A 60 kDa, SS-A 52 kDa, SS-B, Scl-70, CENP-B ); Антитела к ганглиозидам классов IgG/IgM (сульфатиды, GM1,GM2, GM3, GM4, GD1a, GD1b, GD2, GD3, GQ1b, GT1a, GT1b))   </t>
  </si>
  <si>
    <t>B08.851.021.16</t>
  </si>
  <si>
    <t>Тест для диагностики полинейропатий. Антитела к ганглиозидам классов IgG/IgM (сульфатиды, GM1,GM2, GM3, GM4, GD1a, GD1b, GD2, GD3, GQ1b, GT1a, GT1b)</t>
  </si>
  <si>
    <t>B08.851.021.17</t>
  </si>
  <si>
    <t>Аутоиммунная диагностика (Комплексные скрининг-пакеты)</t>
  </si>
  <si>
    <t>Пакет"Скрининг на аутоиммунные ревматические заболевания" (АНФ, ANA-8 иммуноблот, дсДНК, ANCA (anti-MPO, anti-PR3, anti-GBM))</t>
  </si>
  <si>
    <t>B08.851.021.20</t>
  </si>
  <si>
    <t>Пакет "Скрининг на аутоиммунные васкулиты и аутоиммунные поражения почек" (АНФ, ANA-8 иммуноблот, ANCA (anti-MPO, anti-PR3, anti-GBM))</t>
  </si>
  <si>
    <t>B08.851.021.21</t>
  </si>
  <si>
    <t>Пакет "Скрининг на аутоиммунные заболевания печени и ЖКТ" (АНФ, ANCA, антимитохондриальных, антигладкомышечных, антипариетальных антител (ANA/AMA/ASMA/APCA), Иммуноблот (к АМА-M2, gp210, sp100, LKM1, LC1, SLA и F-актину))</t>
  </si>
  <si>
    <t>B08.851.021.22</t>
  </si>
  <si>
    <t>Пакет "Скрининг на аутоиммунные эндокринопатии" (АНФ, ANA-8 иммуноблот, антитела к островковым клеткам IgG, антитела к антигенам коры надпочечников IgG)</t>
  </si>
  <si>
    <t>B08.851.021.23</t>
  </si>
  <si>
    <t>Пакет "Скрининг на целиакию и аутоиммунные гастриты"  (АНФ, ANA-8 иммуноблот; антитела к эндомизию, антитела к тканевой трансглутаминазе, антитела к деамидизированному пептиду глиадина; антител  к внутреннему фактору и антигенам обкладочных клеток )</t>
  </si>
  <si>
    <t>B08.851.021.24</t>
  </si>
  <si>
    <t>Пакет "Скрининг на аутоиммунные поражения кожи"  (АНФ, ANA-иммуноблот, ANCA (anti-MPO, anti-PR3, anti-GBM); антитела к кожным антигенам IgG (anti-BM, anti-ICS))</t>
  </si>
  <si>
    <t>B08.851.021.25</t>
  </si>
  <si>
    <t>Пакет "Скрининг на аутоиммунный миастенический синдром"  (АНФ, ANA-иммуноблот, антител IgG к анитигенам
скелетных мышц (SkMA); антитела к мышечной форме рецептора тирозинкиназы (MuSK))</t>
  </si>
  <si>
    <t>B08.851.021.26</t>
  </si>
  <si>
    <t>Пакет "Скрининг на аутоиммунные воспалительные миопатии и системные склерозы" (АНФ, ANA-иммуноблот ( Sm, Sm/RNP, SS-A/Ro SS-B/La, Scl-70, PM-Scl, CENP-A/B, Jo-1, PL-7, PL-12, SRP,  Ku, Mi-2, PCNA))</t>
  </si>
  <si>
    <t>B08.851.021.27</t>
  </si>
  <si>
    <t>Пакет "Скрининг на Антифосфолипидный синдром"  ( АНФ, ANA-8 иммуноблот; АФС-иммуноблот суммарные антитела)</t>
  </si>
  <si>
    <t>B08.851.021.28</t>
  </si>
  <si>
    <t>Пакет "Скрининг на аутоиммунные полинейропатии"  ( АНФ, ANA-8 иммуноблот; Антитела к ганглиозидам IgM/IgG суммарные антитела)</t>
  </si>
  <si>
    <t>B08.851.021.29</t>
  </si>
  <si>
    <t>Иммуноблот для диагностики аутоиммуных миозитов и склеродермии (Jo-1, PL-7, PL-12, SRP, Mi-2, Ku, PM-Scl 100, Scl-70)</t>
  </si>
  <si>
    <t>Иммуноблот на суммарные АФС-антитела  IgG /IgM (10 антигенов- кардиолипин, фосфатидная кислота, фосфатидилхолин, фосфатидилэтаноламин, фосфатидилглицерин, фосфатидилэнозитол, фосфатидилсерин, аннексин V, бета2-гликопротеин, протромбин)</t>
  </si>
  <si>
    <t>Диагностика целиакии и герпетиформного дерматита (антитела к эндомизию, антитела к тканевой трансглутаминазе, антитела к деамидизированному пептиду глиадина, общий IgA, антитела к кожным антигенам ASA)</t>
  </si>
  <si>
    <t>Аутоиммунные эндокринопатии</t>
  </si>
  <si>
    <t>Диагностика диабета 1 типа.Скрининг aнтител к островковым клеткам (ICA)</t>
  </si>
  <si>
    <t>B08.851.021.11</t>
  </si>
  <si>
    <t>ЭКСПРЕСС-ЛАБОРАТОРИЯ</t>
  </si>
  <si>
    <t>Исследование тромбоэластограммы крови на анализаторе</t>
  </si>
  <si>
    <t>B04.090.002</t>
  </si>
  <si>
    <t>Определение тропонина в сыворотке крови на анализаторе</t>
  </si>
  <si>
    <t>B03.488.002</t>
  </si>
  <si>
    <t>Определение количественного маркера сепсиса Presepsin (иммунохимический метод)</t>
  </si>
  <si>
    <t>B04.358.002.1</t>
  </si>
  <si>
    <t>Определение газов  и электролитов крови с добавочными тестами (лактат, глюкоза, карбоксигемоглобин) на анализаторе</t>
  </si>
  <si>
    <t>B03.318.002</t>
  </si>
  <si>
    <t>МИКРОБИОЛОГИЧЕСКАЯ ЛАБОРАТОРИЯ</t>
  </si>
  <si>
    <t>Бактериологические исследования</t>
  </si>
  <si>
    <t xml:space="preserve">Бактериологическое исследование аутопсийного материала (выделение чистой культуры) ручным методом </t>
  </si>
  <si>
    <t>B05.007.001</t>
  </si>
  <si>
    <t xml:space="preserve">Бактериологическое исследование аутопсийного материала (выделение чистой культуры) на анализатором  </t>
  </si>
  <si>
    <t>B05.007.002</t>
  </si>
  <si>
    <t>Бактериологическое исследование биологического материала на грибы рода Candida, Aspergillu   (выделение чистой культуры) ручным методом</t>
  </si>
  <si>
    <t>B05.015.001</t>
  </si>
  <si>
    <t>Бактериологическое исследование биологического материала на грибы рода Candida, Aspergillu   (выделение чистой культуры) на анализаторе</t>
  </si>
  <si>
    <t>B05.015.002</t>
  </si>
  <si>
    <t>Бактериологическое исследование испражнений на иерсиниоз  (выделение чистой культуры) ручным методом</t>
  </si>
  <si>
    <t>B05.024.001</t>
  </si>
  <si>
    <t>Бактериологическое исследование испражнений на кишечный дисбактериоз (выделение чистой культуры)  ручным методом</t>
  </si>
  <si>
    <t>B05.026.001</t>
  </si>
  <si>
    <t>Бактериологическое исследование испражнений на патогенную и условно- патогенную микрофлору  (выделение чистой культуры) ручным методом</t>
  </si>
  <si>
    <t>B05.027.001</t>
  </si>
  <si>
    <t xml:space="preserve">Бактериологическое исследование крови на сальмонеллез (выделение чистой культуры) ручным методом </t>
  </si>
  <si>
    <t>B05.033.001</t>
  </si>
  <si>
    <t>Бактериологическое исследование крови на стерильность (выделение чистой культуры) ручным методом</t>
  </si>
  <si>
    <t>B05.034.001</t>
  </si>
  <si>
    <t>Бактериологическое исследование крови на стерильность (выделение чистой культуры)  на анализаторе</t>
  </si>
  <si>
    <t>B05.034.002</t>
  </si>
  <si>
    <t>Бактериологическое исследование носоглоточной слизи,спинномозговой жидкости на Neisseria meningitis (выделение чистой культуры) ручным методом</t>
  </si>
  <si>
    <t>B05.040.001</t>
  </si>
  <si>
    <t>Бактериологическое исследование носоглоточной слизи на Neisseria meningitis (нейссерия менингитис) на анализаторе</t>
  </si>
  <si>
    <t>B05.041.002</t>
  </si>
  <si>
    <t xml:space="preserve">Бактериологическое исследование отделяемого из зева и носа на Staphylococcus aureus(выделение чистой культуры) ручным методом </t>
  </si>
  <si>
    <t>B05.042.001</t>
  </si>
  <si>
    <t>Бактериологическое исследование отделяемого носа и зева на патогенный стафилококк Staphylococcus aureus (выделение чистой культуры) на анализаторе</t>
  </si>
  <si>
    <t>B05.042.002</t>
  </si>
  <si>
    <t>Бактериологическое исследование  отделяемого из зева на Bordetella pertussis (на коклюш) (выделение чистой культуры) ручным методом</t>
  </si>
  <si>
    <t>B05.043.001</t>
  </si>
  <si>
    <t>Бактериологическое исследование смывов из бронхов, мокроты,зева, ран, глаз, ушей, мочи, желчи, грудного молока, пищевые токсикоинфекции и др. ручным методом (выделение чистой культуры) на анализаторе</t>
  </si>
  <si>
    <t>B05.044.002</t>
  </si>
  <si>
    <t>Бактериологическое исследование отделяемого носа и зева на дифтерию (выделение чистой культуры) ручным методом</t>
  </si>
  <si>
    <t>B05.045.001</t>
  </si>
  <si>
    <t>Бактериологическое исследование отделяемого носа и зева на дифтерию  (выделение чистой культуры) на анализаторе</t>
  </si>
  <si>
    <t>B05.045.002</t>
  </si>
  <si>
    <t>Бактериологическое исследование спинномозговой жидкости на Neisseria meningitis (нейссерия менингитис) (выделение чистой культуры) ручным методом</t>
  </si>
  <si>
    <t>B05.049.001</t>
  </si>
  <si>
    <t>Бактериологическое исследование крови на сальмонеллез  (выделение чистой культуры) на анализаторе</t>
  </si>
  <si>
    <t>B05.033.002</t>
  </si>
  <si>
    <t>Бактериологическое исследование испражнений на кишечный дисбактериоз (выделение чистой культуры) на анализаторе</t>
  </si>
  <si>
    <t>B05.026.002</t>
  </si>
  <si>
    <t>Бактериологическое исследование испражнений на патогенную и условно- патогенную микрофлору  (выделение чистой культуры) на анализаторе</t>
  </si>
  <si>
    <t>B05.027.002</t>
  </si>
  <si>
    <t>Бактериологическое исследование испражнений на иерсиниоз  (выделение чистой культуры) на анализаторе</t>
  </si>
  <si>
    <t>B05.024.002</t>
  </si>
  <si>
    <t>Бактериологическое исследование  отделяемого из зева на Bordetella pertussis (на коклюш) (выделение чистой культуры) на анализаторе</t>
  </si>
  <si>
    <t>B05.043.002</t>
  </si>
  <si>
    <t>Бактериологическое исследование отделяемого смывов из бронхов, мокроты,зева, ран, глаз, ушей, мочи, желчи, грудного молока и др.  (выделение чистой культуры) ручным методом</t>
  </si>
  <si>
    <t>B05.043.003</t>
  </si>
  <si>
    <t>Серологические исследования</t>
  </si>
  <si>
    <t>Постановка реакции микропреципитации с кардиолипиновым антигеном в сыворотке крови ручным методом</t>
  </si>
  <si>
    <t>B06.681.012</t>
  </si>
  <si>
    <t>Постановка реакции Райта в сыворотке крови на бруцеллез</t>
  </si>
  <si>
    <t>B06.683.012</t>
  </si>
  <si>
    <t>Постановка реакции Хеддельсона в сыворотке крови на бруцеллез</t>
  </si>
  <si>
    <t>B06.684.012</t>
  </si>
  <si>
    <t>Постановка реакции пассивной гемагглютинации (РПГА) на коклюш, паракоклюш, иерсиниоз, псевдотуберкулез,листериоз, пастереллез, сальмонеллез</t>
  </si>
  <si>
    <t>B06.691.012</t>
  </si>
  <si>
    <t>Санитарно- бактериологические исследования</t>
  </si>
  <si>
    <t>Бактериологическое исследование смывов на БГКП (одно исследование)</t>
  </si>
  <si>
    <t>В.05.036.002.1</t>
  </si>
  <si>
    <t>Бактериологическое исследование смывов на патогенную флору, (одно исследование)</t>
  </si>
  <si>
    <t>В.05.036.002.2</t>
  </si>
  <si>
    <t>Бактериологическое исследование смывов на  стафилококк (одно исследование)</t>
  </si>
  <si>
    <t>В.05.036.002.3</t>
  </si>
  <si>
    <t>Бактериологическое исследование воздуха помещений на общее микробное число</t>
  </si>
  <si>
    <t>В.05.036.002.4</t>
  </si>
  <si>
    <t>Бактериологическое исследование воздуха помещений на патогенный стафилококк</t>
  </si>
  <si>
    <t>В.05.036.002.5</t>
  </si>
  <si>
    <t xml:space="preserve">Бактериологическое исследование воздуха помещений на грибы   </t>
  </si>
  <si>
    <t>В.05.036.002.6</t>
  </si>
  <si>
    <t>Бактериологическое исследование шовного , перевязочного материала, инструментария, рук на стерильность (одно исследование)</t>
  </si>
  <si>
    <t>В.05.036.002.8</t>
  </si>
  <si>
    <t>Бактериологическая оценка безопасности и эффективности дезинфицирующих средств (одно исследование)</t>
  </si>
  <si>
    <t>В.05.036.002.9</t>
  </si>
  <si>
    <t>Бактериологический контроль дезинфекционно-стерилизационного оборудования (стерилизаторы, дезкамеры) одно исследование</t>
  </si>
  <si>
    <t>В.05.036.002.10</t>
  </si>
  <si>
    <t>Забор материала на микробиологические исследования</t>
  </si>
  <si>
    <t>В.05.036.002.11</t>
  </si>
  <si>
    <t>Контроль качества питательных сред</t>
  </si>
  <si>
    <t>В.05.036.002.12</t>
  </si>
  <si>
    <t>ОТДЕЛ ТРАНСФУЗИОЛОГИИ</t>
  </si>
  <si>
    <t>Определение антиэритроцитарных антител в непрямом тесте Кумбса в ID-картах (качественный тест)</t>
  </si>
  <si>
    <t>B06.670.012</t>
  </si>
  <si>
    <t>Определение субклассов Ig G с использованием ID-карт</t>
  </si>
  <si>
    <t>B06.678.012</t>
  </si>
  <si>
    <t>Постановка пробы Кумбса</t>
  </si>
  <si>
    <t>B06.679.012</t>
  </si>
  <si>
    <t>Типирование по системе ABO/RhD(VI), обратным методом:DiaClonABO/D</t>
  </si>
  <si>
    <t>B06.702.012</t>
  </si>
  <si>
    <t>ПАТОМОРФОЛОГИЧЕСКИЙ  ОТДЕЛ</t>
  </si>
  <si>
    <t>Бальзамирование тела умершего</t>
  </si>
  <si>
    <t>B08.769.001</t>
  </si>
  <si>
    <t>Бальзамирование тела умершего (детского)</t>
  </si>
  <si>
    <t>Гистологическое исследование 1 блок-препарата операционно-биопсийного материала 1-й категории сложности</t>
  </si>
  <si>
    <t>B08.734.001</t>
  </si>
  <si>
    <t>Гистологическое исследование 1 блок-препарата операционно-биопсийного 2-й категории сложности</t>
  </si>
  <si>
    <t>B08.735.001</t>
  </si>
  <si>
    <t>Гистологическое исследование 1 блок-препарата операционно-биопсийного материала 3 категории сложности</t>
  </si>
  <si>
    <t>B08.737.001</t>
  </si>
  <si>
    <t>Гистологическое исследование 1 блок-препарата операционно-биопсийного материала 4 категории сложности</t>
  </si>
  <si>
    <t>B08.764.001</t>
  </si>
  <si>
    <t>Гистохимическое исследование на Массон трихром</t>
  </si>
  <si>
    <t>В08.760.001</t>
  </si>
  <si>
    <t>Гистохимическое исследование на Ван Гизон</t>
  </si>
  <si>
    <t>Гистохимическое исследование на Импрегнация Серебром</t>
  </si>
  <si>
    <t>В08.759.001</t>
  </si>
  <si>
    <t>Гистохимическое исследование на Муцикармин</t>
  </si>
  <si>
    <t>B08.759.011</t>
  </si>
  <si>
    <t>Гистохимическое исследование на РАS-реакцию</t>
  </si>
  <si>
    <t>В08.761.001</t>
  </si>
  <si>
    <t>Гистохимическое исследование на Амилоид</t>
  </si>
  <si>
    <t>В08.758.001</t>
  </si>
  <si>
    <t xml:space="preserve">Гистохимическое исследование на Метод серебрения по Джонсон - Моури </t>
  </si>
  <si>
    <t xml:space="preserve">Гистохимическое исследование на Дагностику болезни Вильсона </t>
  </si>
  <si>
    <t>Гистохимичекое исследование по Перлсу</t>
  </si>
  <si>
    <t>Исследование биологического материала методом иммунофлюоресцентной микроскопии</t>
  </si>
  <si>
    <t>В08.851.021</t>
  </si>
  <si>
    <t>Иммуногистохимическое исследование Кi-67</t>
  </si>
  <si>
    <t>В06.660.011</t>
  </si>
  <si>
    <t>Иммуногистохимическое исследование Progesterone</t>
  </si>
  <si>
    <t>Иммуногистохимическое исследование Estrogene</t>
  </si>
  <si>
    <t>Иммуногистохимическое исследование Androgene</t>
  </si>
  <si>
    <t>Иммуногистохимическое исследование к Tinto HER-2 neu клон RBT-HER-2</t>
  </si>
  <si>
    <t>Консультация микропрепаратов по Папаниколау</t>
  </si>
  <si>
    <t>В06.667.011</t>
  </si>
  <si>
    <t xml:space="preserve">Неинвазивная диагностика Helicobacter pylori (хеликобактер пилори) (ХЕЛИК-тест) </t>
  </si>
  <si>
    <t xml:space="preserve">Определение степени чистоты гинекологического мазка ручным методом </t>
  </si>
  <si>
    <t>B01.458.001</t>
  </si>
  <si>
    <t>Операционно-биопсийный материал блок-препарата от 1-6  (консультация)</t>
  </si>
  <si>
    <t>В08.764.001</t>
  </si>
  <si>
    <t xml:space="preserve">Патолого-анатомическое вскрытие трупа – аутопсия 1 категории сложности </t>
  </si>
  <si>
    <t>B08.765.001</t>
  </si>
  <si>
    <t>Патолого-анатомическое вскрытие трупа - аутопсия 2 категории сложности</t>
  </si>
  <si>
    <t>B08.767.001</t>
  </si>
  <si>
    <t>Патолого-анатомическое вскрытие трупа - аутопсия 3 категории сложности</t>
  </si>
  <si>
    <t>B08.768.001</t>
  </si>
  <si>
    <t>Патолого-анатомическое вскрытие трупа - аутопсия 4 категории сложности</t>
  </si>
  <si>
    <t>Ритуальное прощание (1 часа)</t>
  </si>
  <si>
    <t>Риноцитограмма соскоба из слизистой оболочки носовой полости</t>
  </si>
  <si>
    <t>В08.743.001</t>
  </si>
  <si>
    <t xml:space="preserve">Туалет тела умершего </t>
  </si>
  <si>
    <t>Укладывание тела умершего</t>
  </si>
  <si>
    <t>Хранение тела умершего в холодильной камере (1сутки)</t>
  </si>
  <si>
    <t>Хранение тела умершего в холодильной камере (1 час)</t>
  </si>
  <si>
    <t>Хранение тела умершего в холодильной камере (от 2 часов и т.д.)</t>
  </si>
  <si>
    <t>Цитологическое исследование материала (интраоперационные экспресс цитологические исследования)</t>
  </si>
  <si>
    <t>В08.750.001</t>
  </si>
  <si>
    <t>Цитологическое исследование (окраска по Папаниколау)</t>
  </si>
  <si>
    <t>B08.747.001</t>
  </si>
  <si>
    <t>Исследование урогенитального мазка ручным методом</t>
  </si>
  <si>
    <t>B01.080.001</t>
  </si>
  <si>
    <t>Цитологическое исследование (с окраской по Романовскому-Гимзе, Diff-Qwik, Май-Грюнвальду, Грамму, Паппенгейму)</t>
  </si>
  <si>
    <t>B08.746.001</t>
  </si>
  <si>
    <t>Цитологическое исследование мазка из шейки матки ПАП-тест</t>
  </si>
  <si>
    <t>B08.749.001</t>
  </si>
  <si>
    <t>Экспресс исследование операционного и биопсийного материала (1-го блок-препарата)</t>
  </si>
  <si>
    <t>B08.763.001</t>
  </si>
  <si>
    <t>Консультация операционно-биопсийного материала с изготовлением из парафиновых блоков (от 1-6 блоков)</t>
  </si>
  <si>
    <t xml:space="preserve">Срочное гистологическое исследование операционно-биопсийного материала (Cito!) 1 блок-препарата по 1-й категории сложности </t>
  </si>
  <si>
    <t xml:space="preserve">Срочное гистологическое исследование операционно-биопсийного материала (Cito!) 1 блок-препарата по 2-й категории сложности </t>
  </si>
  <si>
    <t xml:space="preserve">Срочное гистологическое исследование операционно-биопсийного материала (Cito!) 1 блок-препарата по 3-й категории сложности </t>
  </si>
  <si>
    <t xml:space="preserve">Срочное гистологическое исследование операционно-биопсийного материала (Cito!) 1 блок-препарата по 4-й категории сложности </t>
  </si>
  <si>
    <t>В06.660.012</t>
  </si>
  <si>
    <t>В06.660.013</t>
  </si>
  <si>
    <t>В06.660.014</t>
  </si>
  <si>
    <t>В06.660.015</t>
  </si>
  <si>
    <t>В06.660.016</t>
  </si>
  <si>
    <t>В06.660.017</t>
  </si>
  <si>
    <t>В06.660.018</t>
  </si>
  <si>
    <t>В06.660.019</t>
  </si>
  <si>
    <t>В06.660.020</t>
  </si>
  <si>
    <t>В06.660.021</t>
  </si>
  <si>
    <t>В06.660.022</t>
  </si>
  <si>
    <t>В06.660.023</t>
  </si>
  <si>
    <t>В06.660.024</t>
  </si>
  <si>
    <t>В06.660.025</t>
  </si>
  <si>
    <t>В06.660.026</t>
  </si>
  <si>
    <t>В06.660.027</t>
  </si>
  <si>
    <t>ТЕРАПЕВТИЧЕСКИЙ ОТДЕЛ № 2</t>
  </si>
  <si>
    <t>Биотехнология мультипотентных мезенхимальных стволовых клеток костного мозга</t>
  </si>
  <si>
    <t>41.01</t>
  </si>
  <si>
    <t xml:space="preserve">процедура </t>
  </si>
  <si>
    <t>Забор костного мозга</t>
  </si>
  <si>
    <t>Биотехнология гемопоэтических стволовых клеток костного мозга</t>
  </si>
  <si>
    <t>Заготовка, культивирование и криоконсервация фетальных нейроцитов</t>
  </si>
  <si>
    <t>41.10</t>
  </si>
  <si>
    <t>Заготовка, культивирование и криоконсервация фетальных гепатоцитов</t>
  </si>
  <si>
    <t>41.10.</t>
  </si>
  <si>
    <t>Заготовка, культивирование и криоконсервация фетальных хондроцитов</t>
  </si>
  <si>
    <t>Заготовка, культивирование и криоконсервация фетальных нефроцитов</t>
  </si>
  <si>
    <t>Заготовка, культивирование и криоконсервация фетальных клеток поджелудочной железы</t>
  </si>
  <si>
    <t xml:space="preserve">ОТДЕЛ ОБЩЕЙ И ТОРАКАЛЬНОЙ ХИРУРГИИ </t>
  </si>
  <si>
    <t>Ампутация на уровне бедра, голени и фаланги</t>
  </si>
  <si>
    <t>84.10.1</t>
  </si>
  <si>
    <t xml:space="preserve">Анастомоз поджелудочной железы </t>
  </si>
  <si>
    <t>52.96</t>
  </si>
  <si>
    <t>Анастомоз тонкой кишки в прямокишечную культю</t>
  </si>
  <si>
    <t>45.92</t>
  </si>
  <si>
    <t>Антрумэктомия+СтВ в модификации Бильрот I</t>
  </si>
  <si>
    <t>43.61.1</t>
  </si>
  <si>
    <t>Аппендэктомия традиционная</t>
  </si>
  <si>
    <t>47.00.3</t>
  </si>
  <si>
    <t>Аппендэктомия традиционная при  местном перитоните</t>
  </si>
  <si>
    <t>47.00.1</t>
  </si>
  <si>
    <t>Аппендэктомия традиционная при разлитом перитоните</t>
  </si>
  <si>
    <t>47.00.2</t>
  </si>
  <si>
    <t xml:space="preserve">Артроскопия других уточненных локализаций </t>
  </si>
  <si>
    <t>80.29</t>
  </si>
  <si>
    <t>Введение холедогепатической трубки в целях декомпрессии</t>
  </si>
  <si>
    <t>51.43</t>
  </si>
  <si>
    <t xml:space="preserve">Вентрикулостомия </t>
  </si>
  <si>
    <t>02.20</t>
  </si>
  <si>
    <t>Видеоторакоскопическое удаление тимомы (без стоимости ИМН)</t>
  </si>
  <si>
    <t>07.8411</t>
  </si>
  <si>
    <t xml:space="preserve">Видеоторакоскопическое ушивание буллы легкого с экстраплевральным пневмолизом и миниторакотомным доступом </t>
  </si>
  <si>
    <t>33.4301</t>
  </si>
  <si>
    <t>Видеоторакоскопическое ушивание буллы легкого с эктраплевральным пневолизиоми миниторакотомном доступом (без стоимости ИМН)</t>
  </si>
  <si>
    <t>33.4301.2</t>
  </si>
  <si>
    <t>Временная колостомия</t>
  </si>
  <si>
    <t>46.11</t>
  </si>
  <si>
    <t xml:space="preserve">Вскрытие и дренирование абсцесса мягких тканей </t>
  </si>
  <si>
    <t>86.222</t>
  </si>
  <si>
    <t>Восстановительные (реконструктивно-пластические) операции на трахее</t>
  </si>
  <si>
    <t xml:space="preserve">31.7910 </t>
  </si>
  <si>
    <t>Лапароскопическая герниопластика</t>
  </si>
  <si>
    <t>53.69.1</t>
  </si>
  <si>
    <t>Высокий обходной анастомоз</t>
  </si>
  <si>
    <t>44.31</t>
  </si>
  <si>
    <t xml:space="preserve">Гастротомия </t>
  </si>
  <si>
    <t>43.00</t>
  </si>
  <si>
    <t>Герниопластика при вентральной грыже</t>
  </si>
  <si>
    <t>53.61.1</t>
  </si>
  <si>
    <t xml:space="preserve">Двусторонняя подкожная мастэктомия с одновременной имплантацией </t>
  </si>
  <si>
    <t>85.35</t>
  </si>
  <si>
    <t xml:space="preserve">ДВУСТОРОННЯЯ ПРОСТАЯ МАСТЭКТОМИЯ </t>
  </si>
  <si>
    <t>85.42</t>
  </si>
  <si>
    <t xml:space="preserve">Двусторонняя расширенная простая мастэктомия </t>
  </si>
  <si>
    <t>85.44</t>
  </si>
  <si>
    <t>Декортикация легкого (без стоимости ИМН)</t>
  </si>
  <si>
    <t>34.51.1</t>
  </si>
  <si>
    <t xml:space="preserve">Диагностическая плевральная пункция </t>
  </si>
  <si>
    <t>34.91</t>
  </si>
  <si>
    <t xml:space="preserve">Диагностическая торакоскопия </t>
  </si>
  <si>
    <t>34.02.2</t>
  </si>
  <si>
    <t>Диагностическая торакотомия (без стоимости ИМН)</t>
  </si>
  <si>
    <t>34.02.3</t>
  </si>
  <si>
    <t>Дилатация  привратника желудка путем рассечения</t>
  </si>
  <si>
    <t>43.70.2</t>
  </si>
  <si>
    <t>Дренирование абсцесса печени</t>
  </si>
  <si>
    <t>50.291</t>
  </si>
  <si>
    <t xml:space="preserve">Дренирование абсцесса печени и/или  Чрезкожная аспирация печени </t>
  </si>
  <si>
    <t>50.291.1</t>
  </si>
  <si>
    <t>Дренирование плевральной полости</t>
  </si>
  <si>
    <t>34.04</t>
  </si>
  <si>
    <t xml:space="preserve">Другая двусторонняя подкожная мастэктомия </t>
  </si>
  <si>
    <t>85.36</t>
  </si>
  <si>
    <t xml:space="preserve">Другая холецистэктомия </t>
  </si>
  <si>
    <t>51.22</t>
  </si>
  <si>
    <t>Другая частичная резекция толстой кишки</t>
  </si>
  <si>
    <t>45.79</t>
  </si>
  <si>
    <t>Другие виды восстановительных операций на диафрагме (без стоимости ИМН)</t>
  </si>
  <si>
    <t>34.84.1</t>
  </si>
  <si>
    <t>Другие виды иссечения плевры (без стоимости ИМН)</t>
  </si>
  <si>
    <t>34.59.1</t>
  </si>
  <si>
    <t>Другие виды пилоропластики</t>
  </si>
  <si>
    <t>44.29</t>
  </si>
  <si>
    <t xml:space="preserve">Другие виды рассечения перианальной ткани </t>
  </si>
  <si>
    <t>49.02</t>
  </si>
  <si>
    <t>Другие восстановительные манипуляции на поджелудочной железе</t>
  </si>
  <si>
    <t>52.95</t>
  </si>
  <si>
    <t>Другие восстановительные операции на грудной стенке (без стоимости ИМН)</t>
  </si>
  <si>
    <t>34.28.1</t>
  </si>
  <si>
    <t>Другие восстановительные операции на кишечнике</t>
  </si>
  <si>
    <t>46.79</t>
  </si>
  <si>
    <t>Другие диагностические манипуляции на средотения</t>
  </si>
  <si>
    <t>34.29</t>
  </si>
  <si>
    <t xml:space="preserve">Другие и неуточненные операции по устранению дефекта межжелудочковой перегородки </t>
  </si>
  <si>
    <t>35.72</t>
  </si>
  <si>
    <t>Другие манипуляции на геморроидальных узлах (без стоимости ИМН)</t>
  </si>
  <si>
    <t>49.49</t>
  </si>
  <si>
    <t>Другой вид анастомоза желчного протока</t>
  </si>
  <si>
    <t>51.39</t>
  </si>
  <si>
    <t>Другие восстановительные и пластические манипуляции на трахее</t>
  </si>
  <si>
    <t>31.79</t>
  </si>
  <si>
    <t>Закрытие стомы толстой кишки</t>
  </si>
  <si>
    <t>46.51</t>
  </si>
  <si>
    <t>Закрытие стомы тонкой кишки</t>
  </si>
  <si>
    <t>46.52</t>
  </si>
  <si>
    <t>Закрытие торакостомы (без стоимости ИМН)</t>
  </si>
  <si>
    <t>34.72.1</t>
  </si>
  <si>
    <t>Закрытие фистулы бронха (без стоимости ИМН)</t>
  </si>
  <si>
    <t>33.42.1</t>
  </si>
  <si>
    <t>Закрытие фистулы диафрагмы (без стоимости ИМН)</t>
  </si>
  <si>
    <t>34.83.1</t>
  </si>
  <si>
    <t>Замена имплантанта молочной железы (I категория сложности)</t>
  </si>
  <si>
    <t>85.00.1</t>
  </si>
  <si>
    <t>Замена имплантанта молочной железы (II категория сложности)</t>
  </si>
  <si>
    <t>85.00.2</t>
  </si>
  <si>
    <t>Замена имплантанта молочной железы (III категория сложности)</t>
  </si>
  <si>
    <t>85.00.3</t>
  </si>
  <si>
    <t>Трепанобиопсия молочных желез под контролем УЗИ</t>
  </si>
  <si>
    <t xml:space="preserve">Замена чреспеченочного дренажа желчных протоков </t>
  </si>
  <si>
    <t>51.392</t>
  </si>
  <si>
    <t>Замена чреспеченочных дренажей (без стоимости ИМН)</t>
  </si>
  <si>
    <t>51.392.1</t>
  </si>
  <si>
    <t>Имплантация  кавафильтра (без стоимости ИМН, Кава-фильтра)</t>
  </si>
  <si>
    <t>39.765.1</t>
  </si>
  <si>
    <t>Имплантация (коррекция) сосудистого порта - без стоимости ИМН</t>
  </si>
  <si>
    <t>39.9917.1</t>
  </si>
  <si>
    <t xml:space="preserve">Имплантация интравенозного кава-фильтра  </t>
  </si>
  <si>
    <t>39.765</t>
  </si>
  <si>
    <t>Интраабдоминальная  манипуляция   на толстой кишке</t>
  </si>
  <si>
    <t xml:space="preserve">Иссечение анального свища </t>
  </si>
  <si>
    <t>49.12</t>
  </si>
  <si>
    <t>Иссечение или деструкциия поврежденного участка грудной стенки (без стоимости ИМН)</t>
  </si>
  <si>
    <t>34.40.1</t>
  </si>
  <si>
    <t xml:space="preserve">Иссечение или деструкция пораженного участка или ткани кожи и подкожной основы </t>
  </si>
  <si>
    <t>86.20</t>
  </si>
  <si>
    <t>Иссечение поврежденного участка щитовидной железы</t>
  </si>
  <si>
    <t>6.31</t>
  </si>
  <si>
    <t xml:space="preserve">Иссечение подъязычно расположенной щитовидной железы </t>
  </si>
  <si>
    <t>06.89.1</t>
  </si>
  <si>
    <t xml:space="preserve">Иссечение  свища с  перемещением  слизисто-подслизистого,  слизисто-мышечного  или полнослойного лоскута прямой кишки в анальный канал </t>
  </si>
  <si>
    <t>48.93.1</t>
  </si>
  <si>
    <t>Катетеризация периферических сосудов для длительной инфузионной терапии (без стоимости ИМН)</t>
  </si>
  <si>
    <t>39.795.1</t>
  </si>
  <si>
    <t>Лапароскопическая (продольная, sleav) резекция желудка (без имн)</t>
  </si>
  <si>
    <t>17.0436.5</t>
  </si>
  <si>
    <t xml:space="preserve">Лапароскопическая аппендэктомия </t>
  </si>
  <si>
    <t>47.01</t>
  </si>
  <si>
    <t xml:space="preserve">Лапароскопическая гастропликация с инвагинацией большой кривизны желудка при ожирении </t>
  </si>
  <si>
    <t>17.0436.1</t>
  </si>
  <si>
    <t xml:space="preserve">Лапароскопическая гастроэнтеростомия </t>
  </si>
  <si>
    <t>44.48</t>
  </si>
  <si>
    <t xml:space="preserve">Лапароскопическая пликация большой кривизны желудка без ИМН </t>
  </si>
  <si>
    <t>17.0436.2</t>
  </si>
  <si>
    <t xml:space="preserve">Лапароскопическая продольная (рукавная, трубчатая, sleeve) резекция желудка без ИМН </t>
  </si>
  <si>
    <t>17.0436.3</t>
  </si>
  <si>
    <t>Лапароскопическая фундопликация</t>
  </si>
  <si>
    <t>53.71</t>
  </si>
  <si>
    <t>Лапароскопическая фундопликация (без стоимости ИМН)</t>
  </si>
  <si>
    <t>53.71.3</t>
  </si>
  <si>
    <t>Лапароскопическая холецистэктомия</t>
  </si>
  <si>
    <t>51.23</t>
  </si>
  <si>
    <t xml:space="preserve">Лапароскопическое гастрошунтирование по Ру без ИМН </t>
  </si>
  <si>
    <t>17.0436.4</t>
  </si>
  <si>
    <t>Лапаротомическая холедохотомия, фиброхолангиоскопия, наружное дренирование холедоха</t>
  </si>
  <si>
    <t>51.43.1</t>
  </si>
  <si>
    <t>Левая гемиколэктомия</t>
  </si>
  <si>
    <t>45.75</t>
  </si>
  <si>
    <t>Лобэктомия легкого (без стоимости ИМН)</t>
  </si>
  <si>
    <t>32.40.1</t>
  </si>
  <si>
    <t>Лобэктомия печени</t>
  </si>
  <si>
    <t>50.30</t>
  </si>
  <si>
    <t>Локальное иссечение толстой кишки</t>
  </si>
  <si>
    <t>45.40</t>
  </si>
  <si>
    <t xml:space="preserve">Мастопексия (подтяжка груди) двухсторонняя (I категория сложности) </t>
  </si>
  <si>
    <t>85.00.4</t>
  </si>
  <si>
    <t xml:space="preserve">Мастопексия (подтяжка груди) двухсторонняя (II категория сложности) </t>
  </si>
  <si>
    <t>85.60.1</t>
  </si>
  <si>
    <t xml:space="preserve">Мастопексия (подтяжка груди) двухсторонняя (III категория сложности) </t>
  </si>
  <si>
    <t>85.89.1</t>
  </si>
  <si>
    <t xml:space="preserve">Мастопексия (подтяжка груди) односторонняя (I категория сложности) </t>
  </si>
  <si>
    <t>85.99.1</t>
  </si>
  <si>
    <t xml:space="preserve">Мастопексия (подтяжка груди) односторонняя (II категория сложности) </t>
  </si>
  <si>
    <t>85.99.2</t>
  </si>
  <si>
    <t xml:space="preserve">Мастопексия (подтяжка груди) односторонняя (III категория сложности) </t>
  </si>
  <si>
    <t>85.99.3</t>
  </si>
  <si>
    <t>Медиастиноскопия (без стоимости ИМН)</t>
  </si>
  <si>
    <t>34.22.1</t>
  </si>
  <si>
    <t>Метод билиопанкреатического шунтирования (операция по N.Scopinaro) без ИМН</t>
  </si>
  <si>
    <t>52.96.1</t>
  </si>
  <si>
    <t>Миниабдоминопластика</t>
  </si>
  <si>
    <t>86.20.1</t>
  </si>
  <si>
    <t xml:space="preserve">Миниторакотомия с эндовидеоассистированием, экономная резекция образования лёгкого </t>
  </si>
  <si>
    <t>33.4301.1</t>
  </si>
  <si>
    <t xml:space="preserve">Односторонняя адреналэктомия </t>
  </si>
  <si>
    <t>07.22</t>
  </si>
  <si>
    <t>Односторонняя лобэктомия щитовидной железы</t>
  </si>
  <si>
    <t>06.20</t>
  </si>
  <si>
    <t xml:space="preserve">Операции на коже и подлежащих тканях </t>
  </si>
  <si>
    <t>86.00</t>
  </si>
  <si>
    <t xml:space="preserve">Операция Миллигана-Моргана </t>
  </si>
  <si>
    <t>49.45.1</t>
  </si>
  <si>
    <t>Операция на кишечнике</t>
  </si>
  <si>
    <t>46.99.1</t>
  </si>
  <si>
    <t>Открытая абляция поражения печени или ткани</t>
  </si>
  <si>
    <t>50.23</t>
  </si>
  <si>
    <t>Открытая биопсия легкого (без стоимости ИМН)</t>
  </si>
  <si>
    <t>33.28.1</t>
  </si>
  <si>
    <t>Открытая биопсия средостения (без стоимости ИМН)</t>
  </si>
  <si>
    <t>34.29.1</t>
  </si>
  <si>
    <t xml:space="preserve">Открытая или видеолапароскопическая резекция кардии с эзофагогастро-пластикой </t>
  </si>
  <si>
    <t>53.71.2</t>
  </si>
  <si>
    <t xml:space="preserve">Открытая или видеолапароскопическая ЭКМ* по E. Heller c передней фундопликацией по Dor </t>
  </si>
  <si>
    <t>53.71.1</t>
  </si>
  <si>
    <t xml:space="preserve">Отсроченная некрэктомия с одномоментной аутодермопластикой </t>
  </si>
  <si>
    <t>86.911</t>
  </si>
  <si>
    <t>Перевязка геморроидальных узлов</t>
  </si>
  <si>
    <t>49.45</t>
  </si>
  <si>
    <t>Открытая экстирпация пищевода с гастропластикой по Черноусову или по Lews</t>
  </si>
  <si>
    <t>43.39</t>
  </si>
  <si>
    <t>Пликация нижней полой вены</t>
  </si>
  <si>
    <t xml:space="preserve">Перевязка и экстирпация варикозных вен нижней конечности </t>
  </si>
  <si>
    <t>38.59</t>
  </si>
  <si>
    <t>Поражение межпозвонковых дисков (дискэктомия)</t>
  </si>
  <si>
    <t>Герниотомия с пластикой с синтетической сеткой (аллопластика)</t>
  </si>
  <si>
    <t>53.69</t>
  </si>
  <si>
    <t>Шов, экзо-, эндоневролиз периферических нервов</t>
  </si>
  <si>
    <t>Полная пневмонэктомия (без стоимости ИМН)</t>
  </si>
  <si>
    <t>32.50.1</t>
  </si>
  <si>
    <t xml:space="preserve">Полная тиреоидэктомия </t>
  </si>
  <si>
    <t>06.40</t>
  </si>
  <si>
    <t>Радикальная мастэктомия с одномоментной реконструкцией имплантами I категории сложности</t>
  </si>
  <si>
    <t>85.00.7</t>
  </si>
  <si>
    <t>Радиочастотная абляция щитовидной железы</t>
  </si>
  <si>
    <t>06.98.1</t>
  </si>
  <si>
    <t xml:space="preserve">Рассечение анального свища </t>
  </si>
  <si>
    <t>49.11</t>
  </si>
  <si>
    <t>Расширенная комбинированная гемигепатэктомия при новообразованиях печени без ИМН</t>
  </si>
  <si>
    <t>50.2219</t>
  </si>
  <si>
    <t xml:space="preserve">Резекция желудка по Бильрот I - при желудочной локализации язвы </t>
  </si>
  <si>
    <t>43.60.1</t>
  </si>
  <si>
    <t xml:space="preserve">Резекция желудка по Бильрот II - при больших и гигантских язвах с сочетанием нескольких осложнений одновременно </t>
  </si>
  <si>
    <t>43.60.2</t>
  </si>
  <si>
    <t>Резекция поврежденных тканей печени</t>
  </si>
  <si>
    <t>50.20</t>
  </si>
  <si>
    <t>Резекция поперечно-ободочной кишки</t>
  </si>
  <si>
    <t>45.74</t>
  </si>
  <si>
    <t>Резекция сегмента легкого (без стоимости ИМН)</t>
  </si>
  <si>
    <t>32.30.1</t>
  </si>
  <si>
    <t>Реконструкция молочных желез (импланты и экспандеры) двухсторонняя (I категория сложности)</t>
  </si>
  <si>
    <t>85.70.1</t>
  </si>
  <si>
    <t>Реконструкция молочных желез (импланты и экспандеры) двухсторонняя (II категория сложности)</t>
  </si>
  <si>
    <t>85.70.2</t>
  </si>
  <si>
    <t>Реконструкция молочных желез (импланты и экспандеры) двухсторонняя (III категория сложности)</t>
  </si>
  <si>
    <t>85.70.3</t>
  </si>
  <si>
    <t>Реконструкция молочных желез (импланты и экспандеры) односторонняя (I категория сложности)</t>
  </si>
  <si>
    <t>85.00</t>
  </si>
  <si>
    <t>Релапаротомия в месте недавней лапаротомии</t>
  </si>
  <si>
    <t>54.12</t>
  </si>
  <si>
    <t>Реторакотомия (без стоимости ИМН)</t>
  </si>
  <si>
    <t>34.03.1</t>
  </si>
  <si>
    <t>РЧА опухолей (без стоимости ИМН)</t>
  </si>
  <si>
    <t>50.24.4</t>
  </si>
  <si>
    <t>РЧА опухолей с применением двух игл</t>
  </si>
  <si>
    <t>50.24.2</t>
  </si>
  <si>
    <t>РЧА опухолей с применением одной иглы</t>
  </si>
  <si>
    <t>50.24.1</t>
  </si>
  <si>
    <t>Диагностическая пункционная трепан биопсия щитовидной желзы под контролем УЗИ для гистологического иследования</t>
  </si>
  <si>
    <t>D91.911.013.19</t>
  </si>
  <si>
    <t>Стволовая склерооблитерация при варикозной болезни нижних конечностей</t>
  </si>
  <si>
    <t>39.92.1</t>
  </si>
  <si>
    <t>Струмэктомия</t>
  </si>
  <si>
    <t>06.40.1</t>
  </si>
  <si>
    <t xml:space="preserve">СУБТОТАЛЬНАЯ МАСТЭКТОМИЯ  </t>
  </si>
  <si>
    <t>85.23</t>
  </si>
  <si>
    <t>Субтотальная резекция желудка</t>
  </si>
  <si>
    <t>43.70</t>
  </si>
  <si>
    <t>Субтотальная резекция щитовидной железы</t>
  </si>
  <si>
    <t>06.21</t>
  </si>
  <si>
    <t>Тампонада перфоративного отверстия изолированным участком большого сальника методом Graham</t>
  </si>
  <si>
    <t>35.72.1</t>
  </si>
  <si>
    <t>Тампонада перфоративного отверстия методом Оппеля-Поликарпова (Cellan–Jones)(при больших каллезных язвах, когда имеются противопоказания к резекции желудка, а ушивание приводит к прорезыванию швов)</t>
  </si>
  <si>
    <t>35.72.2</t>
  </si>
  <si>
    <t>Тонкокишечный анастомоз</t>
  </si>
  <si>
    <t>45.91</t>
  </si>
  <si>
    <t>Торакапластика (без стоимости ИМН)</t>
  </si>
  <si>
    <t>33.34.2</t>
  </si>
  <si>
    <t>Торакоскопическая биопсия органов грудной клетки</t>
  </si>
  <si>
    <t>33.20</t>
  </si>
  <si>
    <t>Торакоскопическая лобэктомия легкого (без стоимости ИМН)</t>
  </si>
  <si>
    <t>32.41.1</t>
  </si>
  <si>
    <t>Торакоскопическая плевральная биопсия (без стоимости ИМН)</t>
  </si>
  <si>
    <t>34.20.1</t>
  </si>
  <si>
    <t>Торакоскопическая резекция легкого (кист, доброкачественных опухолей), ушивание разрыва (без стоимости ИМН)</t>
  </si>
  <si>
    <t>32.304.1</t>
  </si>
  <si>
    <t>Торакоскопическое удаление опухоли заднего средостения (невриномы, липомы)- без стоимости ИМН</t>
  </si>
  <si>
    <t>34.311.1</t>
  </si>
  <si>
    <t xml:space="preserve">Торакотомия (вскрытие грудной полости) </t>
  </si>
  <si>
    <t>34.02.1</t>
  </si>
  <si>
    <t>Транссфеноидальной аденомэктомии без ИМН</t>
  </si>
  <si>
    <t>44.65.2</t>
  </si>
  <si>
    <t xml:space="preserve">Увеличивающая маммопластика (аугментация) двухсторонняя (I категория сложности) </t>
  </si>
  <si>
    <t>85.54.1</t>
  </si>
  <si>
    <t xml:space="preserve">Увеличивающая маммопластика (аугментация) двухсторонняя (II категория сложности) </t>
  </si>
  <si>
    <t>85.54.2</t>
  </si>
  <si>
    <t xml:space="preserve">Увеличивающая маммопластика (аугментация) двухсторонняя (III категория сложности) </t>
  </si>
  <si>
    <t>85.54.3</t>
  </si>
  <si>
    <t xml:space="preserve">Увеличивающая маммопластика (аугментация) односторонняя (I категория сложности) </t>
  </si>
  <si>
    <t>85.53.1</t>
  </si>
  <si>
    <t xml:space="preserve">Увеличивающая маммопластика (аугментация) односторонняя (II категория сложности) </t>
  </si>
  <si>
    <t>85.53.2</t>
  </si>
  <si>
    <t xml:space="preserve">Увеличивающая маммопластика (аугментация) односторонняя (III категория сложности) </t>
  </si>
  <si>
    <t>85.53.3</t>
  </si>
  <si>
    <t>Удаление кавафильтра (без стоимости ИМН, комплекта для удаления кава-фильтра)</t>
  </si>
  <si>
    <t>39.765.2</t>
  </si>
  <si>
    <t>Удаление сигмовидной кишки (Гартмана)</t>
  </si>
  <si>
    <t>45.76</t>
  </si>
  <si>
    <t>Устранение грыжи с рассечением и использованием протеза</t>
  </si>
  <si>
    <t>53.61</t>
  </si>
  <si>
    <t>Устранение другой грыжи передней брюшной стенки (без имплантата или протеза)</t>
  </si>
  <si>
    <t>53.50</t>
  </si>
  <si>
    <t xml:space="preserve">Устранение параректального свища </t>
  </si>
  <si>
    <t>48.93</t>
  </si>
  <si>
    <t xml:space="preserve">Устранение прямой паховой грыжи </t>
  </si>
  <si>
    <t>53.01</t>
  </si>
  <si>
    <t>Устранение пупочной грыжи</t>
  </si>
  <si>
    <t>53.40</t>
  </si>
  <si>
    <t>Ушивание прободной язвы (экстренно)</t>
  </si>
  <si>
    <t>44.41.1</t>
  </si>
  <si>
    <t>Ушивание разрыва двенадцатиперстной кишки</t>
  </si>
  <si>
    <t>46.71</t>
  </si>
  <si>
    <t>Ушивание разрыва диафрагмы (без стоимости ИМН)</t>
  </si>
  <si>
    <t>34.82.1</t>
  </si>
  <si>
    <t>Ушивание разрыва легкого (без стоимости ИМН)</t>
  </si>
  <si>
    <t>33.43.1</t>
  </si>
  <si>
    <t>Ушивание разрыва толстой кишки</t>
  </si>
  <si>
    <t>46.75</t>
  </si>
  <si>
    <t xml:space="preserve">Ушивание разрыва тонкой кишки, кроме двенадцатиперстной </t>
  </si>
  <si>
    <t>46.73</t>
  </si>
  <si>
    <t>Ушивание язвы желудка</t>
  </si>
  <si>
    <t>44.41</t>
  </si>
  <si>
    <t>Химиоэмболизация опухолей печени (без стоимости ИМН)</t>
  </si>
  <si>
    <t>39.7946.1</t>
  </si>
  <si>
    <t xml:space="preserve">Хирургическая обработка раны </t>
  </si>
  <si>
    <t>86.221</t>
  </si>
  <si>
    <t xml:space="preserve">Холедохопластика </t>
  </si>
  <si>
    <t>51.72</t>
  </si>
  <si>
    <t xml:space="preserve">Холедохоэнтеростомия </t>
  </si>
  <si>
    <t>51.36</t>
  </si>
  <si>
    <t>Частичная резекция желудка с анастомозом в двенадцатиперстную кишку</t>
  </si>
  <si>
    <t>43.60</t>
  </si>
  <si>
    <t>Частичная резекция печени (без стоимости ИМН)</t>
  </si>
  <si>
    <t>50.22</t>
  </si>
  <si>
    <t>Частичная резекция толстой кишки</t>
  </si>
  <si>
    <t>45.70</t>
  </si>
  <si>
    <t xml:space="preserve">Чрескожная холецистотомия для дренирования (иглой или катетором) </t>
  </si>
  <si>
    <t>51.032</t>
  </si>
  <si>
    <t>Чрескожная чреспеченочная холангиостомия или холецистостомия. Чрескожное дренирование полостных образований (без стоимости ИМН)</t>
  </si>
  <si>
    <t>51.393.1</t>
  </si>
  <si>
    <t xml:space="preserve">Чрескожная чреспеченочная холецистография без стимости ИМН </t>
  </si>
  <si>
    <t>51.032.2</t>
  </si>
  <si>
    <t xml:space="preserve">Чрескожная чреспеченочная холецистохолангиостомия </t>
  </si>
  <si>
    <t>51.391</t>
  </si>
  <si>
    <t>Чреспеченочные эндоваскулярные вмешательства (стентирование) - без стоимости ИМН</t>
  </si>
  <si>
    <t>51.391.1</t>
  </si>
  <si>
    <t xml:space="preserve">Эзофагогастропластика </t>
  </si>
  <si>
    <t>44.65</t>
  </si>
  <si>
    <t>Эзофагопластика желудочной трубкой</t>
  </si>
  <si>
    <t>46.71.1</t>
  </si>
  <si>
    <t>Эзофагопластика целым желудком</t>
  </si>
  <si>
    <t>44.65.1</t>
  </si>
  <si>
    <t>Эксцизионная биопсия опухолей молочной железы/лимфоузлов и др. I категории сложности</t>
  </si>
  <si>
    <t>85.12.1</t>
  </si>
  <si>
    <t>Эксцизионная биопсия опухолей молочной железы/лимфоузлов и др. II категории сложности</t>
  </si>
  <si>
    <t>85.12.2</t>
  </si>
  <si>
    <t>Эксцизионная биопсия опухолей молочной железы/лимфоузлов и др. III категории сложности</t>
  </si>
  <si>
    <t>85.12.3</t>
  </si>
  <si>
    <t>Эмболизация периферических сосудов склерозирующими средствами (варикоцеле, оварикоцеле) - без стоимости ИМН</t>
  </si>
  <si>
    <t>39.7947.1</t>
  </si>
  <si>
    <t>Эмболизация селезеночной артерии (без стоимости ИМН)</t>
  </si>
  <si>
    <t>39.794.1</t>
  </si>
  <si>
    <t xml:space="preserve">Эндоваскулярная баллонная дилатация  желчных протоков </t>
  </si>
  <si>
    <t>51.032.1</t>
  </si>
  <si>
    <t>Эндоваскулярная баллонная дилатация  желчных протоков (без стоимости ИМН)</t>
  </si>
  <si>
    <t>51.391.2</t>
  </si>
  <si>
    <t xml:space="preserve">Эндоваскулярная химиоэмболизация опухолей печени, поджелудочной железы, матки </t>
  </si>
  <si>
    <t>39.7946</t>
  </si>
  <si>
    <t xml:space="preserve">Эндоваскулярная эмболизация сосудов </t>
  </si>
  <si>
    <t>39.794</t>
  </si>
  <si>
    <t xml:space="preserve">Эндопротезирование желчных протоков (бужирование и  стентирование) </t>
  </si>
  <si>
    <t>51.31.1</t>
  </si>
  <si>
    <t>44.48.1</t>
  </si>
  <si>
    <t>Эндоскопическая папиллосфинктеротомия (рхпг)</t>
  </si>
  <si>
    <t>51.31</t>
  </si>
  <si>
    <t>Эндоскопическая папиллосфинктеротомия (ЭПСТ) и литоэкстракция</t>
  </si>
  <si>
    <t>51.31.2</t>
  </si>
  <si>
    <t>Эндоскопическое введение стента (трубки) в желчный проток</t>
  </si>
  <si>
    <t>51.87</t>
  </si>
  <si>
    <t xml:space="preserve">Эндоскопическое применение внутрижелудочного баллона </t>
  </si>
  <si>
    <t>51.43.2</t>
  </si>
  <si>
    <t>Энуклеация кисты или узла щитовидной железы</t>
  </si>
  <si>
    <t>06.32</t>
  </si>
  <si>
    <t>Эхинококкэктомия легкого (без стоимости ИМН)</t>
  </si>
  <si>
    <t>32.301</t>
  </si>
  <si>
    <t>Эхинококкэктомия печени (без стоимости ИМН)</t>
  </si>
  <si>
    <t>50.211</t>
  </si>
  <si>
    <t>Пластическая хирургия</t>
  </si>
  <si>
    <t>Контрактура Дюпюитрена (I категория)</t>
  </si>
  <si>
    <t>86.84.1</t>
  </si>
  <si>
    <t>Контрактура Дюпюитрена (II категория)</t>
  </si>
  <si>
    <t>86.84.2</t>
  </si>
  <si>
    <t xml:space="preserve">Манипуляции на мышце, сухожилий, фасции и синовиальной сумке, в том числе и кисти (без стоимости дорогостоящих ИМН)
( десмотомии)
</t>
  </si>
  <si>
    <t>83.29.1</t>
  </si>
  <si>
    <t xml:space="preserve">Редукционная маммопластика 1 категория сложности </t>
  </si>
  <si>
    <t>85.30.1</t>
  </si>
  <si>
    <t>Редукционная маммопластика 2 категория сложности</t>
  </si>
  <si>
    <t>85.30.2</t>
  </si>
  <si>
    <t>Редукционная маммопластика 3 категория сложности</t>
  </si>
  <si>
    <t>85.30.3</t>
  </si>
  <si>
    <t>Реконструктивные операции на кисти (врожденные и преобретенные патологии) 1 категории сложности</t>
  </si>
  <si>
    <t>81.79.1</t>
  </si>
  <si>
    <t>Реконструктивные операции на кисти (врожденные и преобретенные патологии) 2 категории сложности</t>
  </si>
  <si>
    <t>81.79.2</t>
  </si>
  <si>
    <t>Реконструктивные операции на кисти (врожденные и преобретенные патологии) 3 категории сложности</t>
  </si>
  <si>
    <t>81.79.3</t>
  </si>
  <si>
    <t>21.83.1</t>
  </si>
  <si>
    <t xml:space="preserve">
Реконструкция носа 2  категории сложности 
 </t>
  </si>
  <si>
    <t>21.83.2</t>
  </si>
  <si>
    <t>21.83.3</t>
  </si>
  <si>
    <t xml:space="preserve">Ринопластика 1 категории сложности </t>
  </si>
  <si>
    <t>21.87.1</t>
  </si>
  <si>
    <t>21.87.2</t>
  </si>
  <si>
    <t>21.87.3</t>
  </si>
  <si>
    <t xml:space="preserve">
Ринопластика 4 категории сложности
 </t>
  </si>
  <si>
    <t>21.87.4</t>
  </si>
  <si>
    <t>Рубцовые деформации кисти (I категория)</t>
  </si>
  <si>
    <t>86.84.3</t>
  </si>
  <si>
    <t>УРОЛОГИЧЕСКИЙ ОТДЕЛ</t>
  </si>
  <si>
    <t>Биопсия яичка</t>
  </si>
  <si>
    <t>58.50</t>
  </si>
  <si>
    <t xml:space="preserve">операция </t>
  </si>
  <si>
    <t>Бужирование уретры</t>
  </si>
  <si>
    <t>57.11</t>
  </si>
  <si>
    <t>Бужирование уретры (манипуляция)</t>
  </si>
  <si>
    <t>Введение или замена неувеличивающегося протеза полового члена (без ИМН)</t>
  </si>
  <si>
    <t>64.95</t>
  </si>
  <si>
    <t>Восстановление уретры (пластика буккальным лоскутом)</t>
  </si>
  <si>
    <t>58.4904</t>
  </si>
  <si>
    <t>Вскрытие паранефрита (без ИМН)</t>
  </si>
  <si>
    <t>55.91</t>
  </si>
  <si>
    <t>Вскрытие  карбункула почки (без ИМН)</t>
  </si>
  <si>
    <t>Декапсуляция и дренирование почки</t>
  </si>
  <si>
    <t>Диафаноскопия</t>
  </si>
  <si>
    <t>Иссечение парауретральной кисты</t>
  </si>
  <si>
    <t>59.00</t>
  </si>
  <si>
    <t>Иссечение полипа уретры</t>
  </si>
  <si>
    <t>59.00.1</t>
  </si>
  <si>
    <t>Иссечение олеогранулемы полового члена с кожной пластикой</t>
  </si>
  <si>
    <t>64.49</t>
  </si>
  <si>
    <t>Иссечение кисты придатка яичка</t>
  </si>
  <si>
    <t>63.20</t>
  </si>
  <si>
    <t>Иссечение мочевого протока (Урахус)</t>
  </si>
  <si>
    <t>57.51</t>
  </si>
  <si>
    <t>Лапароскопическая аденомэктомия</t>
  </si>
  <si>
    <t>60.69</t>
  </si>
  <si>
    <t>Лапароскопический неоуретероцистоанастомоз</t>
  </si>
  <si>
    <t>55.8602</t>
  </si>
  <si>
    <t>Лапароскопическая пиелолитотомия</t>
  </si>
  <si>
    <t>55.87</t>
  </si>
  <si>
    <t>Лапароскопическая простатэктомия</t>
  </si>
  <si>
    <t>60.50.1</t>
  </si>
  <si>
    <t>Лапароскопическая окклюзия тестикулярной вены</t>
  </si>
  <si>
    <t>58.49</t>
  </si>
  <si>
    <t>Лапароскопическая резекция почки</t>
  </si>
  <si>
    <t>55.4010</t>
  </si>
  <si>
    <t>Лапароскопическая нефропексия (без стоимости ИМН)</t>
  </si>
  <si>
    <t>55.7002</t>
  </si>
  <si>
    <t>55.00</t>
  </si>
  <si>
    <t>Меатомия уретры</t>
  </si>
  <si>
    <t>58.10</t>
  </si>
  <si>
    <t>Микрохирургическая коррекция искривления полового члена при болезни Пейрони</t>
  </si>
  <si>
    <t>64.2001</t>
  </si>
  <si>
    <t>Полифокальная трансректальная биопсия простаты (без стоимости ИМН, гистологического исследования)</t>
  </si>
  <si>
    <t>D60.110.618</t>
  </si>
  <si>
    <t>Обрезание крайней плоти (циркумцизия)</t>
  </si>
  <si>
    <t>Односторонняя орхиэктомия</t>
  </si>
  <si>
    <t>62.30</t>
  </si>
  <si>
    <t>Одномоментная чрезпузырная аденомэктомия</t>
  </si>
  <si>
    <t>60.30</t>
  </si>
  <si>
    <t>Оперативное иссечение кисты почки</t>
  </si>
  <si>
    <t>55.0169</t>
  </si>
  <si>
    <t>Орхидопексия</t>
  </si>
  <si>
    <t>62.50</t>
  </si>
  <si>
    <t>Орхитэктомия одно яичко</t>
  </si>
  <si>
    <t>Операция по поводу варикоцеле и гидроцеле семенного канатика</t>
  </si>
  <si>
    <t>63.10</t>
  </si>
  <si>
    <t>Перкутанная нефролитотомия (без стоимости ИМН)</t>
  </si>
  <si>
    <t>55.04</t>
  </si>
  <si>
    <t>Перкутанная игниопунктура кист почки</t>
  </si>
  <si>
    <t>55.29</t>
  </si>
  <si>
    <t>Пиелолитотомия (без ИМН)</t>
  </si>
  <si>
    <t>55.11</t>
  </si>
  <si>
    <t>Полная нефрэктомия (эндовидеохирургическая, ретроперитонеальная)</t>
  </si>
  <si>
    <t>55.5002</t>
  </si>
  <si>
    <t>Пластика пузырно-влагалищного свища</t>
  </si>
  <si>
    <t>57.8404</t>
  </si>
  <si>
    <t>Пластика лоханочно- мочеточникового сегмента</t>
  </si>
  <si>
    <t>55.80</t>
  </si>
  <si>
    <t>Резекция почки (без ИМН)</t>
  </si>
  <si>
    <t>Резекция мочевого пузыря</t>
  </si>
  <si>
    <t>57.00</t>
  </si>
  <si>
    <t>Ретропубитальная простатэктомия</t>
  </si>
  <si>
    <t>60.40</t>
  </si>
  <si>
    <t>Ретроградная интраренальная хирургия</t>
  </si>
  <si>
    <t>56.99</t>
  </si>
  <si>
    <t>Субингвинальное микрохирургическое устранение варикоцеле</t>
  </si>
  <si>
    <t>63.1001</t>
  </si>
  <si>
    <t>Стентирование мочеточника (без стоимости ИМН)</t>
  </si>
  <si>
    <t>59.81</t>
  </si>
  <si>
    <t>Традиционная нефрэктомия</t>
  </si>
  <si>
    <t xml:space="preserve"> 55.50</t>
  </si>
  <si>
    <t>Традиционная нефролитотомия (без ИМН)</t>
  </si>
  <si>
    <t>55.0190</t>
  </si>
  <si>
    <t>Традиционная нефропексия</t>
  </si>
  <si>
    <t>55.70</t>
  </si>
  <si>
    <t>Трансуретральная резекция простаты</t>
  </si>
  <si>
    <t>60.2120</t>
  </si>
  <si>
    <t>Троакарная  эпицистостомия</t>
  </si>
  <si>
    <t>Традиционная эпицистостомия</t>
  </si>
  <si>
    <t>Трансуретральная цистолитотрипсия (без стоимости ИМН)</t>
  </si>
  <si>
    <t>56.01</t>
  </si>
  <si>
    <t>Троакарная цистостомия</t>
  </si>
  <si>
    <t>Трансуретральная биопсия мочевого пузыря</t>
  </si>
  <si>
    <t>Трансуретральная резекция образования мочевого пузыря</t>
  </si>
  <si>
    <t>57.01</t>
  </si>
  <si>
    <t>Уретеролитотомия (без ИМН)</t>
  </si>
  <si>
    <t>56.20</t>
  </si>
  <si>
    <t>Уретротомия лазерная</t>
  </si>
  <si>
    <t>58.01</t>
  </si>
  <si>
    <t>Трансуретральная резекция склероза шейки мочевого пузыря</t>
  </si>
  <si>
    <t>55.03</t>
  </si>
  <si>
    <t>Трансуретральная энуклеация доброкачественной гиперплазии предстательной железы (лазерная)</t>
  </si>
  <si>
    <t>Ушивание разрыва мочевого пузыря</t>
  </si>
  <si>
    <t>57.81</t>
  </si>
  <si>
    <t>Ушивание разрыва почки</t>
  </si>
  <si>
    <t>55.81</t>
  </si>
  <si>
    <t>Удаление уретрального катетера</t>
  </si>
  <si>
    <t>Чрезкожная (перкутанная) нефролитотрипсия, нефролитолапаксия, нефростомия без фрагментации (без ИМН)</t>
  </si>
  <si>
    <t>Цистоцервикопексия при недержании мочи у женщин. Цистоуретропластика (без ИМН)</t>
  </si>
  <si>
    <t>57.85</t>
  </si>
  <si>
    <t>Цистотомия и цистостомия</t>
  </si>
  <si>
    <t>57.10</t>
  </si>
  <si>
    <t>Цистоскопия с биопсией</t>
  </si>
  <si>
    <t>57.23</t>
  </si>
  <si>
    <t>Цистоскопия с удалением инородного тела</t>
  </si>
  <si>
    <t>Цистоскопия с установкой набора для дренажа мочевых путей</t>
  </si>
  <si>
    <t>Цистоскопия с катетеризацией почки (без стоимости ИМН)</t>
  </si>
  <si>
    <t>Цистоскопия смотровая</t>
  </si>
  <si>
    <t>57.97</t>
  </si>
  <si>
    <t>Эндоскопическая уретеролитотрипсия с литоэкстракцией (без ИМН)</t>
  </si>
  <si>
    <t>56.10</t>
  </si>
  <si>
    <t>ГИНЕКОЛОГИЧЕСКИЙ ОТДЕЛ</t>
  </si>
  <si>
    <t>Аспирационный кюретаж полости матки</t>
  </si>
  <si>
    <t>D69.590.130</t>
  </si>
  <si>
    <t xml:space="preserve">Аднексэктомия лапароскопия </t>
  </si>
  <si>
    <t>65.01</t>
  </si>
  <si>
    <t>Ампутация шейки матки с пластикой влагалища</t>
  </si>
  <si>
    <t>67.40</t>
  </si>
  <si>
    <t>Аспирационная биопсия эндометрии</t>
  </si>
  <si>
    <t>69.09.02</t>
  </si>
  <si>
    <t>Гистероскопия</t>
  </si>
  <si>
    <t>68.12</t>
  </si>
  <si>
    <t>Другие виды дилатации и кюретажа матки</t>
  </si>
  <si>
    <t>69.09</t>
  </si>
  <si>
    <t>Забор мазка на степень чистоты</t>
  </si>
  <si>
    <t>Забор мазка на онкоцитологию (D91.496.105)</t>
  </si>
  <si>
    <t>Забор на РИФ и ЗППП</t>
  </si>
  <si>
    <t xml:space="preserve">Влагалищная экстирпация матки </t>
  </si>
  <si>
    <t>68.50</t>
  </si>
  <si>
    <t>ТГЭ или  Экстирпация матки с придатками (лапароскопическая)</t>
  </si>
  <si>
    <t>Полипэктомия с раздельным диагностическим выскабливанием стенок матки и цервикального канала</t>
  </si>
  <si>
    <t>68.29</t>
  </si>
  <si>
    <t>Надвлагалищная ампутация матки с придатками и без придатков (лапаратомная)</t>
  </si>
  <si>
    <t>Надвлагалищная ампутация матки  с придатками и без придатков (лапароскопия)</t>
  </si>
  <si>
    <t>68.611</t>
  </si>
  <si>
    <t>Другие виды иссечения или деструкция пораженного участка матки</t>
  </si>
  <si>
    <t>Консервативная миомэктомия лапароскопия с продолжительностью до 1 часа</t>
  </si>
  <si>
    <t>68.4110</t>
  </si>
  <si>
    <t>Консервативная миомэктомия лапароскопия с продолжительностью более 1 часа</t>
  </si>
  <si>
    <t>Удаление придатков матки  (трубы яичника, лапаратомная)</t>
  </si>
  <si>
    <t>Гистерорезекция эндометрия,аблация эндометрия,резекция субмукозных узлов</t>
  </si>
  <si>
    <t>Гистерорезекция эндометрия,аблация эндометрия,резекция субмукозных узлов полипа эндометрия</t>
  </si>
  <si>
    <t>Диатермокоагуляция</t>
  </si>
  <si>
    <t>67.32</t>
  </si>
  <si>
    <t>С03.067.005</t>
  </si>
  <si>
    <t>Удаление обеих маточных труб в течение одного операционного эпизода (лапаротомия)</t>
  </si>
  <si>
    <t>66.51</t>
  </si>
  <si>
    <t>Обработка швов</t>
  </si>
  <si>
    <t>Снятие швов/ удаление дренажа</t>
  </si>
  <si>
    <t>D86.220.495</t>
  </si>
  <si>
    <t>Радикальная влагалищная экстирпация матки</t>
  </si>
  <si>
    <t>68.70</t>
  </si>
  <si>
    <t>Экстирпация матки с придатками (лапароскопическая)</t>
  </si>
  <si>
    <t>68.61</t>
  </si>
  <si>
    <t xml:space="preserve">Передняя кольпоррафия </t>
  </si>
  <si>
    <t>Диагностическая лапаротомия</t>
  </si>
  <si>
    <t>54.11</t>
  </si>
  <si>
    <t>Другие восстановительные манипуляции на вульве и промежности</t>
  </si>
  <si>
    <t>71.79</t>
  </si>
  <si>
    <t>Лапароскопический лизис спаек яичников и маточной трубы</t>
  </si>
  <si>
    <t>65.81</t>
  </si>
  <si>
    <t>59.40</t>
  </si>
  <si>
    <t>Проведение РАТ - терапии при воспалительных заболеваниях (1процедура)</t>
  </si>
  <si>
    <t>Перевязки (гинекологические)</t>
  </si>
  <si>
    <t>Полипэктомия</t>
  </si>
  <si>
    <t>Лапароскопическая промонтофиксация матки с сетчатым протезом (без стоимости сетки)</t>
  </si>
  <si>
    <t>69.221</t>
  </si>
  <si>
    <t>Лапароскопическая кольпосуспензия по Бёрчу</t>
  </si>
  <si>
    <t>Лапароскопическая радикальная абдоминальная гистерэктомия</t>
  </si>
  <si>
    <t>Местные (влагалищные) процедуры при гинеколологических заболеваниях - санация влагалища, уретры</t>
  </si>
  <si>
    <t>Местные (влагалищные) процедуры при гинеколологических заболеваниях - введение лекарственных шариков, тампонов</t>
  </si>
  <si>
    <t>Медицинский аборт</t>
  </si>
  <si>
    <t>O203</t>
  </si>
  <si>
    <t>Миниаборт</t>
  </si>
  <si>
    <t>Удаление кисты влагалища, большой железы предверия влагалища</t>
  </si>
  <si>
    <t>71.29</t>
  </si>
  <si>
    <t>Цистэктомия (Кистэктомия)</t>
  </si>
  <si>
    <t>65.10</t>
  </si>
  <si>
    <t>КАРДИОЛОГИЧЕСКИЙ ОТДЕЛ</t>
  </si>
  <si>
    <t xml:space="preserve">Введение постоянного электрокардиостимулятора, первоначальное или его замена, без уточнения типа устройства </t>
  </si>
  <si>
    <t>37.80</t>
  </si>
  <si>
    <t xml:space="preserve">Другие манипуляции на сердце и перикарде </t>
  </si>
  <si>
    <t>37.99</t>
  </si>
  <si>
    <t xml:space="preserve">Иссечение или деструкция другого пораженного участка или ткани сердца с использованием эндоваскулярного доступа </t>
  </si>
  <si>
    <t>37.34</t>
  </si>
  <si>
    <t xml:space="preserve">Катетерное инвазивное электрофизиологическое исследование </t>
  </si>
  <si>
    <t>37.26</t>
  </si>
  <si>
    <t>ЭФИ, РЧА (радиочастотная аблация)</t>
  </si>
  <si>
    <t>37.34.1</t>
  </si>
  <si>
    <t>Склеротерапия варикозно расширенных подкожныъх вен нижних конечностей (1 категория)</t>
  </si>
  <si>
    <t>39.99</t>
  </si>
  <si>
    <t>Склеротерапия варикозно расширенных подкожныъх вен нижних конечностей (2 категории)</t>
  </si>
  <si>
    <t>Эндовенозная лазерная коагуляция вен нижних конечностей (1 ноги)</t>
  </si>
  <si>
    <t>Эндовенозная лазерная коагуляция вен нижних конечностей (2 ноги)</t>
  </si>
  <si>
    <t>Клеевая облитериация вен нижних конечностей системой VenaSeal</t>
  </si>
  <si>
    <t>39.7900</t>
  </si>
  <si>
    <t>Минифлебэктомия варикозно расширенных вен нижних конечностей.</t>
  </si>
  <si>
    <t>Радиочастотная аблация варикозно расширенных вен нижних конечностей (РЧА). (1 ноги)</t>
  </si>
  <si>
    <t>Радиочастотная аблация варикозно расширенных вен нижних конечностей (РЧА). ( 2 ноги)</t>
  </si>
  <si>
    <t>Формирование артерио-венозной фистулы на верхних конечностях (гемодиализным пациентам).</t>
  </si>
  <si>
    <t>Перевязка большая (перевязка + некрэктомия).</t>
  </si>
  <si>
    <t>ДЕТСКИЙ КАРДИОХИРУРГИЧЕСКИЙ ОТДЕЛ</t>
  </si>
  <si>
    <t xml:space="preserve">Бандинг легочной артерии </t>
  </si>
  <si>
    <t>39.521</t>
  </si>
  <si>
    <t>Закрытая сердечная вальвулотомия, клапан легочного ствола</t>
  </si>
  <si>
    <t>35.03</t>
  </si>
  <si>
    <t>Полное восстановление аномального соединения легочных вен</t>
  </si>
  <si>
    <t>35.82</t>
  </si>
  <si>
    <t>Полное восстановление тетрады Фалло</t>
  </si>
  <si>
    <t>35.81</t>
  </si>
  <si>
    <t>Системно-легочный шунт</t>
  </si>
  <si>
    <t>39.0</t>
  </si>
  <si>
    <t>Устранение дефекта межжелудочковой перегородки путем протезирования, закрытым методом</t>
  </si>
  <si>
    <t>35.55</t>
  </si>
  <si>
    <t>Устранение дефекта межжелудочковой перегородки с помощью протеза</t>
  </si>
  <si>
    <t>35.53</t>
  </si>
  <si>
    <t>Устранение дефекта межпредсердной перегородки при помощи тканевого трансплантата</t>
  </si>
  <si>
    <t>35.61</t>
  </si>
  <si>
    <t>Устранение дефекта межпредсердной перегородки с помощью протеза, закрытым методом</t>
  </si>
  <si>
    <t>35.52</t>
  </si>
  <si>
    <t>Устранение дефекта формирования перегородки атриовентрикулярного канала при помощи тканевого трансплантата</t>
  </si>
  <si>
    <t>35.63</t>
  </si>
  <si>
    <t>Эндоваскулярное закрытие открытого артериального протока окклюдером</t>
  </si>
  <si>
    <t>38.852</t>
  </si>
  <si>
    <t xml:space="preserve">Эндоваскулярное стентирование сосудов </t>
  </si>
  <si>
    <t>39.792</t>
  </si>
  <si>
    <t>Эндоваскулярное стентирование сосудов (2 стента)</t>
  </si>
  <si>
    <t>39.792.1</t>
  </si>
  <si>
    <t>Лаборатория катетеризации и функциональной диагностики ДКХО</t>
  </si>
  <si>
    <t xml:space="preserve">Нейросонография </t>
  </si>
  <si>
    <t>C02.019.000</t>
  </si>
  <si>
    <t>Эхокардиография плода</t>
  </si>
  <si>
    <t>C02.012.000.1</t>
  </si>
  <si>
    <t>ОТДЕЛ ИНТЕРВЕНЦИОННОЙ КАРДИОЛОГИИ</t>
  </si>
  <si>
    <t xml:space="preserve">Аортография </t>
  </si>
  <si>
    <t>C88.420.011</t>
  </si>
  <si>
    <t xml:space="preserve">Артериография пульмональной артерии </t>
  </si>
  <si>
    <t>88.43</t>
  </si>
  <si>
    <t xml:space="preserve">Другие манипуляции на сосудах  </t>
  </si>
  <si>
    <t xml:space="preserve">Имплантация интравенозного кава-фильтра </t>
  </si>
  <si>
    <t xml:space="preserve">Катетеризация правых и левых отделов сердца  </t>
  </si>
  <si>
    <t>37.23</t>
  </si>
  <si>
    <t xml:space="preserve">Коронарная артериография с использованием двух катетеров </t>
  </si>
  <si>
    <t>88.56</t>
  </si>
  <si>
    <t>Стентирование коронарной артерии стентом с лекарственным покрытием (без стоимости стента, баллонов)</t>
  </si>
  <si>
    <t>36.07.1</t>
  </si>
  <si>
    <t xml:space="preserve">Стентирование почечных, подвздошных, бедренных артерий </t>
  </si>
  <si>
    <t>39.764</t>
  </si>
  <si>
    <t xml:space="preserve">Чрескожная транслюминальная коронарная ангиопластика </t>
  </si>
  <si>
    <t>00.66</t>
  </si>
  <si>
    <t xml:space="preserve">Эмболизация  артерий простаты </t>
  </si>
  <si>
    <t>39.7944.1</t>
  </si>
  <si>
    <t xml:space="preserve">Эндоваскулярная замена аортального клапана </t>
  </si>
  <si>
    <t>35.05</t>
  </si>
  <si>
    <t xml:space="preserve">Эндоваскулярная имплантация другого трансплантата в брюшную аорту </t>
  </si>
  <si>
    <t>39.71</t>
  </si>
  <si>
    <t>Эндоваскулярная имплантация протеза в грудную аорту</t>
  </si>
  <si>
    <t>39.73</t>
  </si>
  <si>
    <t xml:space="preserve">Эндоваскулярная эмболизация сосудов тазовых органов, маточных артерий </t>
  </si>
  <si>
    <t>39.7944</t>
  </si>
  <si>
    <t>КАРДИОХИРУРГИЧЕСКИЕ ОПЕРАЦИИ</t>
  </si>
  <si>
    <t>АКШ (без коранораграфии)  + аневризма левого желудочка</t>
  </si>
  <si>
    <t>36.13.1</t>
  </si>
  <si>
    <t>АКШ на работающем сердце (без коранарографии)</t>
  </si>
  <si>
    <t>36.13.2</t>
  </si>
  <si>
    <t xml:space="preserve">АКШ при 3-х сосудистом поражении коронарного русла </t>
  </si>
  <si>
    <t>36.13.3</t>
  </si>
  <si>
    <t>АКШ с искусственным кровообращением (без коранарографиеи)</t>
  </si>
  <si>
    <t>36.13.4</t>
  </si>
  <si>
    <t>АКШ с пластикой митрального клапана</t>
  </si>
  <si>
    <t>36.13.5</t>
  </si>
  <si>
    <t>Протезирование   аортального, митрального,трикуспидального клапанов + АКШ</t>
  </si>
  <si>
    <t>35.12.1</t>
  </si>
  <si>
    <t xml:space="preserve">Протезирование 1, 2 клапанов после ранее перенесенной операции </t>
  </si>
  <si>
    <t>35.12.2</t>
  </si>
  <si>
    <t>НЕЙРОХИРУРГИЧЕСКИЙ ОТДЕЛ</t>
  </si>
  <si>
    <t>Иссечение грыжи межпозвоночного диска (без стоимости дорогостоящих одноразовых ЛС и ИМН)</t>
  </si>
  <si>
    <t>80.51.1</t>
  </si>
  <si>
    <t>Микроскопическая (эндоскопическая) декомпрессия структур спинного мозга с установкой PLIF кейджей и чрезкожной транспедикулярной фиксацией (без стоимости дорогостоящих одноразовых ЛС и ИМН)</t>
  </si>
  <si>
    <t>03.592.1</t>
  </si>
  <si>
    <t>Микрохирургическое удаление опухоли головного мозга (Прочие  виды иссечения или деструкции поврежденного участка или ткани головного мозга)</t>
  </si>
  <si>
    <t>01.59</t>
  </si>
  <si>
    <t>Артериография артерий головного мозга</t>
  </si>
  <si>
    <t>ОТДЕЛ МИКРОХИРУРГИИ ГЛАЗА</t>
  </si>
  <si>
    <t>Алколизация цилиарного узла, 1 глаз</t>
  </si>
  <si>
    <t>12.98.1</t>
  </si>
  <si>
    <t>Антиглаукоматозная операция с имплантацией дренажа (без стоимости дренажа), 1 глаз</t>
  </si>
  <si>
    <t>12.59.3</t>
  </si>
  <si>
    <t>Антиглаукоматозные  операции. Синустрабекуоэктомия + базальная иридэктомия (без стоимости дренажа), 1 глаз</t>
  </si>
  <si>
    <t>12.59.2</t>
  </si>
  <si>
    <t>Антиглаукоматозные  операции. Синустрабекуоэктомия с задней скерэктомией (СТЭ + ЗТС)(без стоимости дренажа)</t>
  </si>
  <si>
    <t>12.59.1</t>
  </si>
  <si>
    <t>Другие диагностические манипуляции на коньюнктиве</t>
  </si>
  <si>
    <t>10.29</t>
  </si>
  <si>
    <t xml:space="preserve"> Другие манипуляции на слезной системе</t>
  </si>
  <si>
    <t>09.90</t>
  </si>
  <si>
    <t>Имплантация факичной ИОЛ  (сферическая 1 глаз, без стоимости ИОЛ)</t>
  </si>
  <si>
    <t>13.59.2</t>
  </si>
  <si>
    <t>Интравитреальное введение лекарственного преппарата (без стоимости лекарственного препарата), 1 глаз</t>
  </si>
  <si>
    <t>14.76.1</t>
  </si>
  <si>
    <t xml:space="preserve"> Иссечение халазиона</t>
  </si>
  <si>
    <t>08.21</t>
  </si>
  <si>
    <t>Коррекция птоза: устранение выворота век (один глаз)</t>
  </si>
  <si>
    <t>08.36.2</t>
  </si>
  <si>
    <t>Коррекция птоза: устранение заворота век (один глаз)</t>
  </si>
  <si>
    <t>08.36.1</t>
  </si>
  <si>
    <t xml:space="preserve">Прочие виды коррекции века </t>
  </si>
  <si>
    <t>08.89</t>
  </si>
  <si>
    <t xml:space="preserve"> Прочие виды устранения отслойки сетчатки </t>
  </si>
  <si>
    <t>14.59</t>
  </si>
  <si>
    <t>Субтеноновое введение лекарственного препарата (без  стоимости препарата)</t>
  </si>
  <si>
    <t>14.76.2</t>
  </si>
  <si>
    <t>Удаление  птеригиума, 1 глаз</t>
  </si>
  <si>
    <t>11.39.3</t>
  </si>
  <si>
    <t xml:space="preserve">Удаление верхней сладки </t>
  </si>
  <si>
    <t>08.87</t>
  </si>
  <si>
    <t>Удаление ксантелазм  век в зависимости от множественности</t>
  </si>
  <si>
    <t>08.09.2</t>
  </si>
  <si>
    <t>Удаление мелких новообразований на коже век (индивидуально) в зависимости от множественности, 1 глаз</t>
  </si>
  <si>
    <t>08.09.1</t>
  </si>
  <si>
    <t xml:space="preserve">Удаление нижней складки век </t>
  </si>
  <si>
    <t>08.86</t>
  </si>
  <si>
    <t>Удаление рецидивирущего  птеригиума</t>
  </si>
  <si>
    <t>11.39.1</t>
  </si>
  <si>
    <t>Устранение косоглазия</t>
  </si>
  <si>
    <t>15.40.1</t>
  </si>
  <si>
    <t>Устранение косоглазия с верхним компонентом</t>
  </si>
  <si>
    <t>15.40.2</t>
  </si>
  <si>
    <t xml:space="preserve">Устранение птеригиума с пластикой (при  3, 4 степени) </t>
  </si>
  <si>
    <t>11.39.2</t>
  </si>
  <si>
    <t xml:space="preserve">Факоэмульсификация катаракты с имплантацией монофакальной ИОЛ ( без стоимости ИОЛ), 1 глаз </t>
  </si>
  <si>
    <t>13.73.1</t>
  </si>
  <si>
    <t xml:space="preserve">Факоэмульсификация катаракты с имплантацией монофакальной торической  ИОЛ ( без стоимости ИОЛ),1 глаз  </t>
  </si>
  <si>
    <t>13.73.2</t>
  </si>
  <si>
    <t>Факоэмульсификация катаракты с имплантацией мультифакальной ИОЛ  (без стоимости ИОЛ), 1 глаз</t>
  </si>
  <si>
    <t>13.73.3</t>
  </si>
  <si>
    <t xml:space="preserve">Факоэмульсификация катаракты с имплантацией мультифакальной торической  ИОЛ ( без стоимости ИОЛ), 1 глаз  </t>
  </si>
  <si>
    <t>Экстракапсуярная экстракция катаракты с импантацией  ИОЛ (без стоимости ИОЛ), 1 глаз</t>
  </si>
  <si>
    <t>13.59.1</t>
  </si>
  <si>
    <t>Энуклеация глаза (без протезирования)</t>
  </si>
  <si>
    <t>16.49.1</t>
  </si>
  <si>
    <t xml:space="preserve">Энуклеация глаза с внутренним протезом </t>
  </si>
  <si>
    <t>16.89.1</t>
  </si>
  <si>
    <t>Энуклеация глаза с наружным протезом (без стоимости протеза)</t>
  </si>
  <si>
    <t>16.89.2</t>
  </si>
  <si>
    <t>ОТДЕЛ АНЕСТЕЗИОЛОГИИ, РЕАНИМАЦИИ И ИНТЕНСИВНОЙ ТЕРАПИИ</t>
  </si>
  <si>
    <t>Аппаратный мониторинг пациента 3 параметра  (НИАД, пульс, сатурация)</t>
  </si>
  <si>
    <t xml:space="preserve">D99.295.007 </t>
  </si>
  <si>
    <t>Аппаратный мониторинг пациента 5 параметров  (НИАД, пульс, сатурация, ЭКГ, частота дыхания)</t>
  </si>
  <si>
    <t>Внутривенный  наркоз до 1 часа</t>
  </si>
  <si>
    <t>D99.295.007.9</t>
  </si>
  <si>
    <t>Внутривенный  наркоз до 2 часов</t>
  </si>
  <si>
    <t>D99.295.007.10</t>
  </si>
  <si>
    <t>Внутривенный  наркоз более 2 часов</t>
  </si>
  <si>
    <t>D99.295.007.11</t>
  </si>
  <si>
    <t xml:space="preserve">Внутривенный  наркоз  для малых инвазивных манипуляций </t>
  </si>
  <si>
    <t>D99.295.007</t>
  </si>
  <si>
    <t xml:space="preserve">наркоз </t>
  </si>
  <si>
    <t xml:space="preserve">Перевязка центрального катетера  </t>
  </si>
  <si>
    <t xml:space="preserve">Постановка внутривенного периферического катетера </t>
  </si>
  <si>
    <t>D00.000.08</t>
  </si>
  <si>
    <t xml:space="preserve">Постановка центрального внутривенного однопросветного катетера </t>
  </si>
  <si>
    <t xml:space="preserve">Постановка центрального внутривенного двухпросветного катетера  </t>
  </si>
  <si>
    <t xml:space="preserve">Постановка центрального внутривенного трехпросветного катетера  </t>
  </si>
  <si>
    <t xml:space="preserve">Постановка центрального внутривенного диализного катетера  </t>
  </si>
  <si>
    <t xml:space="preserve">Постановка артериального  катетера  </t>
  </si>
  <si>
    <t>Проведение ИВЛ (искуственной вентиляции легких)</t>
  </si>
  <si>
    <t xml:space="preserve">Седация </t>
  </si>
  <si>
    <t>Спинальная анестезия до 1 часа</t>
  </si>
  <si>
    <t>D99.999.084.7</t>
  </si>
  <si>
    <t>Спинальная  анестезия до 2 часов</t>
  </si>
  <si>
    <t>D99.999.084.8</t>
  </si>
  <si>
    <t>Спинальная анестезия более 2 часов</t>
  </si>
  <si>
    <t>D99.999.084.9</t>
  </si>
  <si>
    <t xml:space="preserve">Эндотрахеальный наркоз до 1 часа          </t>
  </si>
  <si>
    <t>D96.700.027.5</t>
  </si>
  <si>
    <t xml:space="preserve">Эндотрахеальный наркоз  до 2 часов    </t>
  </si>
  <si>
    <t>D96.700.027.6</t>
  </si>
  <si>
    <t xml:space="preserve">Эндотрахеальный наркоз  до 3 часов    </t>
  </si>
  <si>
    <t>D96.700.027.7</t>
  </si>
  <si>
    <t xml:space="preserve">Эндотрахеальный наркоз до 4 часов           </t>
  </si>
  <si>
    <t>D96.700.027.8</t>
  </si>
  <si>
    <t xml:space="preserve">Эндотрахеальный наркоз более 4 часов        </t>
  </si>
  <si>
    <t>D96.700.027.9</t>
  </si>
  <si>
    <t>Эпидуральная анестезия до 1 часа</t>
  </si>
  <si>
    <t>D99.999.084.10</t>
  </si>
  <si>
    <t>Эпидуральная анестезия до 2 часов</t>
  </si>
  <si>
    <t>D99.999.084.11</t>
  </si>
  <si>
    <t>Эпидуральная анестезия свыше 2 часов</t>
  </si>
  <si>
    <t>D99.999.084.12</t>
  </si>
  <si>
    <t>СТАЦИОНАР</t>
  </si>
  <si>
    <t>Стоимость 1 койко-дня без учета питания и медикаментов двухместной палаты</t>
  </si>
  <si>
    <t>Стоимость 1 койко-дня без учета питания и медикаментов одноместной палаты</t>
  </si>
  <si>
    <t xml:space="preserve">Стоимость одного к/д без учета медикаментов и питания реанимационного отделения </t>
  </si>
  <si>
    <t>Стоимость 1 койко-дня без учета питания и медикаментов палата №1 (терапия 1,2)</t>
  </si>
  <si>
    <t>Стоимость 1 койко-дня без учета питания и медикаментов палата №2 (терапия 1,2)</t>
  </si>
  <si>
    <t>Стоимость 1 койко-дня без учета питания и медикаментов палата №3 (терапия 1,2)</t>
  </si>
  <si>
    <t>Стоимость 1 койко-дня без учета питания и медикаментов - дневной стационар (терапия 1)</t>
  </si>
  <si>
    <t xml:space="preserve">Питание </t>
  </si>
  <si>
    <t>Питание в (терапия 1)</t>
  </si>
  <si>
    <t xml:space="preserve">Стоимость 1 койко-дня одноместной палаты повышенной комфортности в пристройке к блоку А без учета питания и медикаментов  </t>
  </si>
  <si>
    <t xml:space="preserve">Стоимость 1 койко-дня двухместной палаты повышенной комфортности  в пристройке к блоку А без учета питания и медикаментов </t>
  </si>
  <si>
    <t xml:space="preserve">Доплата за сервис  1-й палаты Терапии 1 </t>
  </si>
  <si>
    <t>N02.003.000</t>
  </si>
  <si>
    <t xml:space="preserve">Доплата за сервис  2-й палаты Терапии 1 </t>
  </si>
  <si>
    <t>Доплата за сервис 3-й палаты Терапии 1</t>
  </si>
  <si>
    <t>Доплата за сервис двухместной палаты</t>
  </si>
  <si>
    <t>Доплата за сервис одноместной палаты</t>
  </si>
  <si>
    <t xml:space="preserve">Доплата за сервис одноместной палаты повышенной комфортности в пристройке к блоку А без учета питания и медикаментов  </t>
  </si>
  <si>
    <t xml:space="preserve">Доплата за сервис двухместной палаты повышенной комфортности  в пристройке к блоку А без учета питания и медикаментов </t>
  </si>
  <si>
    <t>ТРАНСПОРТНЫЕ УСЛУГИ</t>
  </si>
  <si>
    <t>Транспортировка больных медицинским специализированным автотранспортом  без медицинского сопровождения в пределах города Астана</t>
  </si>
  <si>
    <t>1 час</t>
  </si>
  <si>
    <t>Транспортировка больных медицинским специализированным автотранспортом с медицинским сопровождением за пределы города Астана</t>
  </si>
  <si>
    <t>Транспортировка больных с медицинским сопровождением в/из аэропорт/а без вьезда до трапа самолета</t>
  </si>
  <si>
    <t>в одном направлении</t>
  </si>
  <si>
    <t>Транспортировка больных с медицинским сопровождением в/из аэропорт/а с вьездом до трапа самолета</t>
  </si>
  <si>
    <t>Транспортировка больных с медицинским сопровождением до/из железнодорожного вокзала</t>
  </si>
  <si>
    <t>Транспортировка больных с медицинским сопровождением за пределами города в тенге за 1 км</t>
  </si>
  <si>
    <t xml:space="preserve">1 км </t>
  </si>
  <si>
    <t>ЦЕНТРАЛИЗОВАННАЯ СТЕРИЛИЗАЦИЯ</t>
  </si>
  <si>
    <t>Стерилизация инструментария плазменным  методом</t>
  </si>
  <si>
    <t>Стерилизация инструментария и перевязочного материала паровым методом</t>
  </si>
  <si>
    <t>Стерилизация инструментария газовым методом</t>
  </si>
  <si>
    <t xml:space="preserve">Предстерилизационная очистка инструментов </t>
  </si>
  <si>
    <t>Заместитель директора по медицинской деятельности ТОО "Mexel Healt"</t>
  </si>
  <si>
    <t>Г.Е.Магзумова</t>
  </si>
  <si>
    <t>Заместитель директора по финансовой деятельности ТОО "Mexel Healt"</t>
  </si>
  <si>
    <t>А.Б.Садвокасова</t>
  </si>
  <si>
    <t>Главный экономист</t>
  </si>
  <si>
    <t>Э.М.Мендыбаева</t>
  </si>
  <si>
    <t>к приказу №___________________</t>
  </si>
  <si>
    <t xml:space="preserve">Председатель Правления </t>
  </si>
  <si>
    <t>_____________________ Байгенжин А.К.</t>
  </si>
  <si>
    <t>по медицинской деятельности</t>
  </si>
  <si>
    <t>_____________________ Купенов Б. Г.</t>
  </si>
  <si>
    <t>для граждан Республики Казахстан, кандасов, а также иностранцев и лиц без гражданства, постоянно проживающ на территории РК (имеющих вид на жительство)</t>
  </si>
  <si>
    <t>Ахметжанов А.Х., врач-гинеколог, первичная консультация</t>
  </si>
  <si>
    <t>Ахметжанов А.Х., врач-гинеколог, повторная консультация</t>
  </si>
  <si>
    <t>Криворучко Н.А., врач - ревматолог, первичная консультация КМН</t>
  </si>
  <si>
    <t>Криворучко Н.А., врач - ревматолог, повторная консультация КМН</t>
  </si>
  <si>
    <t>Стамбол Бегылан, врач - интервенционный кардиолог, первичная консультация</t>
  </si>
  <si>
    <t>Стамбол Бегылан, врач - интервенционный кардиолог, повторная консультация</t>
  </si>
  <si>
    <t>Дүйсенбі Серік., врач -нейрохирург, первичная консультация</t>
  </si>
  <si>
    <t>Дүйсенбі Серік., врач -нейрохирург, повторная консультация</t>
  </si>
  <si>
    <t>Дисюкеева А.П., врач-гинеколог, первичная консультация</t>
  </si>
  <si>
    <t>Дисюкеева А.П., врач-гинеколог, повторная консультация</t>
  </si>
  <si>
    <t>Латыпова Н.А. врач - пульмонолог, первичная консультация, ДМН</t>
  </si>
  <si>
    <t>A02.016.000</t>
  </si>
  <si>
    <t>Купенова К.Т- терапевт, кардиолог, первичная консультация</t>
  </si>
  <si>
    <t>A02.001.000</t>
  </si>
  <si>
    <t>Купенова К.Т- терапевт, кардиолог, повторная консультация</t>
  </si>
  <si>
    <t>A02.001.001</t>
  </si>
  <si>
    <t>Магзумова Г.Е.- терапевт,  первичная консультация</t>
  </si>
  <si>
    <t>Магзумова Г.Е.- терапевт,  повторная консультация</t>
  </si>
  <si>
    <t>Иманбаева Н.Д., врач - ревматолог, первичная консультация КМН</t>
  </si>
  <si>
    <t>Иманбаева Н.Д, врач - ревматолог, повторная консультация КМН</t>
  </si>
  <si>
    <t>Аскарова К.М. врач - пульмонолог, первичная консультация КМН</t>
  </si>
  <si>
    <t>Бектаев М.Т., врач - кардиолог, первичная консультация</t>
  </si>
  <si>
    <t>Бектаев М.Т., врач - кардиолог, повторная консультация</t>
  </si>
  <si>
    <t>Жарылгасинова Ы. Ш., врач - офтальмолог, первичная консультация</t>
  </si>
  <si>
    <t>A02.023.000</t>
  </si>
  <si>
    <t>Жарылгасинова Ы. Ш., врач - офтальмолог, повторная консультация</t>
  </si>
  <si>
    <t>Жумабекова А.Ж., врач - кардиолог, первичная консультация</t>
  </si>
  <si>
    <t>A02.015.000</t>
  </si>
  <si>
    <t>Жумабекова А.Ж., врач - кардиолог, повторная консультация</t>
  </si>
  <si>
    <t>Нұрымбет М.Т., врач - невропатолог, первичная консультация</t>
  </si>
  <si>
    <t>Нұрымбет М.Т., врач - невропатолог, повторная консультация</t>
  </si>
  <si>
    <t>Орманбеков Е.Э., врач - аритмолог, первичная консультация</t>
  </si>
  <si>
    <t>Орманбеков Е.Э., врач - аритмолог, повторная консультация</t>
  </si>
  <si>
    <t>Болотбеков У.О., врач - аритмолог, первичная консультация</t>
  </si>
  <si>
    <t>Болотбеков У.О., врач - аритмолог, повторная консультация</t>
  </si>
  <si>
    <t>Тостановская Н.В., врач -гастроэнтеролог, первичная консультация</t>
  </si>
  <si>
    <t>Тостановская Н.В., врач -гастроэнтеролог, повторная консультация</t>
  </si>
  <si>
    <t>Ермаганбетов Е.М,  врач -уролог, первичная консультация</t>
  </si>
  <si>
    <t>A02.026.000</t>
  </si>
  <si>
    <t>Ермаганбетов Е.М, врач -уролог, повторная консультация</t>
  </si>
  <si>
    <t>Молдахметов А.К., врач - аритмолог, первичная консультация</t>
  </si>
  <si>
    <t>Молдахметов А.К., врач - аритмолог, повторная консультация</t>
  </si>
  <si>
    <t>Туребеков З.Т., врач - нефролог, первичная консультация</t>
  </si>
  <si>
    <t>A02.025.000</t>
  </si>
  <si>
    <t>Туребеков З.Т., врач - нефролог, повторная консультация</t>
  </si>
  <si>
    <t>Тримова Р.С., врач - эндокринолог, первичная консультация</t>
  </si>
  <si>
    <t>A02.021.000</t>
  </si>
  <si>
    <t>Тримова Р.С., врач - эндокринолог, повторная консультация</t>
  </si>
  <si>
    <t>Бексултанова Г.С., врач - невролог, первичная консультация</t>
  </si>
  <si>
    <t>Бексултанова Г.С., врач - невролог, повторная консультация</t>
  </si>
  <si>
    <t>Искаков Е.А., врач - уролог, первичная консультация</t>
  </si>
  <si>
    <t>Искаков Е.А., врач - уролог, повторная консультация</t>
  </si>
  <si>
    <t>Омарбаев Р.Т., врач - уролог, первичная консультация</t>
  </si>
  <si>
    <t>Омарбаев Р.Т., врач - уролог, повторная консультация</t>
  </si>
  <si>
    <t>Пак А.М., врач - пульмонолог, первичная консультация</t>
  </si>
  <si>
    <t>Пак А.М., врач - пульмонолог, повторная консультация</t>
  </si>
  <si>
    <t>Тамабаева Л.Ж., врач - гастроэнтеролог, первичная консультация КМН</t>
  </si>
  <si>
    <t>Тамабаева Л.Ж., врач - гастроэнтеролог, повторная консультация КМН</t>
  </si>
  <si>
    <t xml:space="preserve">Ельтокова М. Х., врач - офтальмолог, первичная консультация </t>
  </si>
  <si>
    <t xml:space="preserve">Ельтокова М. Х., врач - офтальмолог, повторная консультация </t>
  </si>
  <si>
    <t>Абилова А.К., врач-гастроэнтеролог, первичная консультация</t>
  </si>
  <si>
    <t>Абилова А.К., врач-гастроэнтеролог, повторная консультация</t>
  </si>
  <si>
    <t>Қонақбай Б. К., клинический фармаколог, первичная консультация</t>
  </si>
  <si>
    <t>Қонақбай Б. К., клинический фармаколог, повторная консультация</t>
  </si>
  <si>
    <t>Жамбучинова А.Н., инфекционист, КМН, первичная консультация</t>
  </si>
  <si>
    <t>A02.019.000</t>
  </si>
  <si>
    <t>ЖамбучиноваА.Н., инфекционист,  КМН,повторная консультация</t>
  </si>
  <si>
    <t>Саменова Д.Е., онколог-маммолог, пластический хирург, первичная консультация без УЗИ</t>
  </si>
  <si>
    <t>A02.039.000</t>
  </si>
  <si>
    <t>Саменова Д.Е., онколог-маммолог, пластический хирург,повторная консультация</t>
  </si>
  <si>
    <t>Саменова Д.Е., онколог-маммолог, пластический хирург, первичная с проведением Узи молочных желез</t>
  </si>
  <si>
    <t>Саменова Д.Е., онколог-маммолог, пластический хирург, повторная с проведением Узи молочных желез</t>
  </si>
  <si>
    <t>Акитбаева А.Е., онколог-маммолог, пластический хирург, первичная консультация</t>
  </si>
  <si>
    <t>A02.040.000</t>
  </si>
  <si>
    <t>Акитбаева А.Е., онколог-маммолог, пластический хирург, повторная консультация</t>
  </si>
  <si>
    <t>Койшикулова М.Н: Онколог - гинеколог, первичная консультация</t>
  </si>
  <si>
    <t>Койшикулова М.Н: Онколог - гинеколог, повторная консультация</t>
  </si>
  <si>
    <t>Султангереева Д.Н-  первичная консультация врача гинеколога - эндокринолога с УЗИ (гинекологическое) Центра женского здоровья и эстетики</t>
  </si>
  <si>
    <t>A02.004.000</t>
  </si>
  <si>
    <t xml:space="preserve">Мунайтбасова Д.С- первичная консультация врача гинеколога - эндокринолога с УЗИ (гинекологическое) Центра женского здоровья и эстетики </t>
  </si>
  <si>
    <t>Серебренникова Д.А., врач - эндокринолог, первичная консультация</t>
  </si>
  <si>
    <t>Серебренникова Д.А., врач - эндокринолог, повторная консультация</t>
  </si>
  <si>
    <t>Балагазина Г.С., врач - кардиолог, первичная консультация</t>
  </si>
  <si>
    <t>Балагазина Г.С., врач - кардиолог, повторная консультация</t>
  </si>
  <si>
    <t>Выдрина И.А. врач - кардиолог, первичная консультация</t>
  </si>
  <si>
    <t>Выдрина И.А. врач - кардиолог, повторная консультация</t>
  </si>
  <si>
    <t>Ульянова О.В.: Эндокринолог (к.м.н. /д.м.н./ врая высшей категории /PhD) первичная консультация</t>
  </si>
  <si>
    <t>Ульянова О.В.: Эндокринолог (к.м.н. /д.м.н./ врая высшей категории /PhD) повторная консультация</t>
  </si>
  <si>
    <t>Вторая читка КТ,МРТ исследований датированных одной датой (второе мнение), КМН</t>
  </si>
  <si>
    <t>Вторая читка ПЭТ/КТ исследований датированных одной датой (второе мнение), КМН</t>
  </si>
  <si>
    <t>Предоперационное сегментирование (волюметрия) печени по данным КТ, КМН</t>
  </si>
  <si>
    <t>Заместитель Председателя Правления</t>
  </si>
  <si>
    <t>Латыпова Н.А. врач - пульмонолог, повторная консультация ДМН</t>
  </si>
  <si>
    <t>Аскарова К.М, врач - пульмонолог, повторная консультация КМН</t>
  </si>
  <si>
    <t>Сексембаева А.И. врач-гинеколог первичный прием</t>
  </si>
  <si>
    <t>Сексембаева А.И. врач-гинеколог повторный прием</t>
  </si>
  <si>
    <t>Султангереева ДН.-  повторная консультация врача гинеколога - эндокринолога с УЗИ (гинекологическое) Центра женского здоровья и эстетики</t>
  </si>
  <si>
    <t>Сулейменова М.С. - первичная консультация эндокринолога - диетолога, нутрициолога.</t>
  </si>
  <si>
    <t>Сулейменова М.С. - повторная  консультация эндокринолога - диетолога, нутрициолога.</t>
  </si>
  <si>
    <t>Мунайтбасова Д.С - повторная консультация врача гинеколога - эндокринолога с УЗИ (гинекологическое) Центра женского здоровья и эстетики</t>
  </si>
  <si>
    <t>Приложение 2</t>
  </si>
  <si>
    <t>Продолжение приложения 2</t>
  </si>
  <si>
    <t xml:space="preserve">Э.М.Мендыбаева </t>
  </si>
  <si>
    <t xml:space="preserve">АО "Национальный научный медицинский центр", </t>
  </si>
  <si>
    <t>ТОО "Mexel health"</t>
  </si>
  <si>
    <t>Дистанционно-ударно волновая литотрипсия</t>
  </si>
  <si>
    <t>Жантубетова М.С., онколог-хирург, первичная консультация</t>
  </si>
  <si>
    <t>Жантубетова М.С., онколог-хирург, повторная консультация</t>
  </si>
  <si>
    <t>Забор анализа на пат.флору</t>
  </si>
  <si>
    <t>Цена (тенге) в том числе НДС</t>
  </si>
  <si>
    <t>ед.  Измерения</t>
  </si>
  <si>
    <t xml:space="preserve">цен на медицинские услуги для страховых компаний, оказываемые врачами в АО"ННМЦ"  и ТОО"Mexel Health" </t>
  </si>
  <si>
    <t xml:space="preserve">цен на медицинские услуги, оказываемые в АО"ННМЦ" для страховых компаний                  </t>
  </si>
  <si>
    <t xml:space="preserve">Реконструкция носа 1 категории сложности </t>
  </si>
  <si>
    <t>"_______ "   ___________________  2026 г.</t>
  </si>
  <si>
    <t>для граждан Республики Казахстан, кандасов, а также иностранцев и лиц без гражданства, постоянно проживающих на территории РК (имеющих вид на жительство) по страховке</t>
  </si>
  <si>
    <t>Парацервикальное лечение (без антибиотиков)</t>
  </si>
  <si>
    <t>Рентгенография грудного отдела позвоночника, две проекции</t>
  </si>
  <si>
    <r>
      <t>Эндоскопическая или видеоассестированная гастростомия (при неоперабельности</t>
    </r>
    <r>
      <rPr>
        <vertAlign val="superscript"/>
        <sz val="10"/>
        <rFont val="Arial"/>
        <family val="2"/>
        <charset val="204"/>
      </rPr>
      <t>**</t>
    </r>
    <r>
      <rPr>
        <sz val="10"/>
        <rFont val="Arial"/>
        <family val="2"/>
        <charset val="204"/>
      </rPr>
      <t xml:space="preserve"> </t>
    </r>
    <r>
      <rPr>
        <sz val="10"/>
        <rFont val="Times New Roman"/>
        <family val="1"/>
        <charset val="204"/>
      </rPr>
      <t>больных с IVстадей АК)</t>
    </r>
  </si>
  <si>
    <t xml:space="preserve"> Установка катерера Фолея (без инстилляции уретры)</t>
  </si>
  <si>
    <t>Абонемент групповые занятия «Кинезотерапия при различных заболеваниях, 8 занятий, 1 месяц (2 раза в неделю)» без заморозки</t>
  </si>
  <si>
    <t>Абонемент групповые занятия «Кинезотерапия при различных заболеваниях, 12 занятий 1 месяц (3 раза в неделю)» без заморозки</t>
  </si>
  <si>
    <r>
      <t>Абонемент групповые занятия «</t>
    </r>
    <r>
      <rPr>
        <b/>
        <sz val="10"/>
        <rFont val="Times New Roman"/>
        <family val="1"/>
      </rPr>
      <t>Корпоративный фитнес для сотрудников  8 занятий, 1 месяц (2 раза в неделю)</t>
    </r>
    <r>
      <rPr>
        <sz val="10"/>
        <rFont val="Times New Roman"/>
        <family val="1"/>
      </rPr>
      <t>» без заморозки</t>
    </r>
  </si>
  <si>
    <r>
      <t>Абонемент групповые занятия «</t>
    </r>
    <r>
      <rPr>
        <b/>
        <sz val="10"/>
        <rFont val="Times New Roman"/>
        <family val="1"/>
      </rPr>
      <t>Корпоративный фитнес для сотрудников  12 занятий 1 месяц (3 раза в неделю)</t>
    </r>
    <r>
      <rPr>
        <sz val="10"/>
        <rFont val="Times New Roman"/>
        <family val="1"/>
      </rPr>
      <t>» без заморозки</t>
    </r>
  </si>
  <si>
    <t xml:space="preserve">Ринопластика 3 категории сложности </t>
  </si>
  <si>
    <t xml:space="preserve">Ринопластика 2 категории сложности
 </t>
  </si>
  <si>
    <t xml:space="preserve">Реконструкция носа 3  категории сложности </t>
  </si>
  <si>
    <t>Бакирова С.А., врач - ревматолог первичная консультация</t>
  </si>
  <si>
    <t>А02.017.000</t>
  </si>
  <si>
    <t>Бакирова С.А., врач - ревматолог повторная консультация</t>
  </si>
  <si>
    <t>Жетписбаева Х.С., врач - аллерголог,  первичная консультация</t>
  </si>
  <si>
    <t xml:space="preserve">Жетписбаева Х.С.,  врач - аллерголог, повторная консультация  </t>
  </si>
  <si>
    <t>Калиева Г. Н., врач - дерматолог,  первичная консультация</t>
  </si>
  <si>
    <t>А02.129.000</t>
  </si>
  <si>
    <t xml:space="preserve">Калиева Г. Н., врач - дерматолог, повторная консультация  </t>
  </si>
  <si>
    <t xml:space="preserve">Досатаева Г.С., врач - гастроэнтеролог- гепатолог, первичная консультация  </t>
  </si>
  <si>
    <t>А02.022.000</t>
  </si>
  <si>
    <t xml:space="preserve">Досатаева Г.С., врач - гастроэнтеролог- гепатолог, повторная консультация  </t>
  </si>
  <si>
    <t xml:space="preserve">Ращектаева Т.В., врач - гастроэнтеролог, первичная консультация  </t>
  </si>
  <si>
    <t xml:space="preserve">Ращектаева Т.В., врач - гастроэнтеролог, повторная консультация  </t>
  </si>
  <si>
    <t xml:space="preserve">Жабакова Ж.М., врач - генетик, первичная консультация  </t>
  </si>
  <si>
    <t>А02.053.000</t>
  </si>
  <si>
    <t xml:space="preserve">Жабакова Ж.М., врач - генетик, повторная консультация  </t>
  </si>
  <si>
    <t>Исенова А.Б., врач-гинеколог, первичная консультация</t>
  </si>
  <si>
    <t>Исенова А.Б., врач-гинеколог, повторная консультация</t>
  </si>
  <si>
    <t>Туганбеков Т.У., врач - маммолог ДМН, первичная консультация</t>
  </si>
  <si>
    <t>А02.052.000</t>
  </si>
  <si>
    <t>Туганбеков Т.У., врач - маммолог ДМН, повторная консультация</t>
  </si>
  <si>
    <t>Идрисова С.Ш., врач - невропатолог, первичная консультация</t>
  </si>
  <si>
    <t>А02.018.000</t>
  </si>
  <si>
    <t>Идрисова С.Ш., врач - невропатолог, повторная консультация</t>
  </si>
  <si>
    <t>Абдикаримов А.М., онколог-хиурург первичная консультация</t>
  </si>
  <si>
    <t>А02.040.000</t>
  </si>
  <si>
    <t>Абдикаримов А.М., онколог-хиурург повторная консультация</t>
  </si>
  <si>
    <t xml:space="preserve">Шуюмбаева А.Е., врач - рематолог, первичная консультация </t>
  </si>
  <si>
    <t xml:space="preserve">Шуюмбаева А.Е., врач - рематолог, повторная консультация </t>
  </si>
  <si>
    <t xml:space="preserve">Джаркеев К.С., врач - торакальный хирург первичная консультация </t>
  </si>
  <si>
    <t>А02.036.000</t>
  </si>
  <si>
    <t xml:space="preserve">Джаркеев К.С., врач - торакальный хирург повторная консультация </t>
  </si>
  <si>
    <t xml:space="preserve">Абдыров Д.А., врач - уролог первичная консультация </t>
  </si>
  <si>
    <t>А.02.026.000</t>
  </si>
  <si>
    <t xml:space="preserve">Абдыров Д.А., врач - уролог повторная консультация </t>
  </si>
  <si>
    <t xml:space="preserve">Досжан А.Д. врач - гепатолог первичная консультация </t>
  </si>
  <si>
    <t>А02.022.007</t>
  </si>
  <si>
    <t>Консультация врача: Проктолог*</t>
  </si>
  <si>
    <t>Повторная консультация врача: Проктолог*</t>
  </si>
  <si>
    <t xml:space="preserve">Зарипова Л.Н., врач - рематолог, первичная консультация </t>
  </si>
  <si>
    <t xml:space="preserve">Зарипова Л.Н., врач - рематолог, повторная консультация </t>
  </si>
  <si>
    <t xml:space="preserve">Нарзуллаев М.Б., врач - ангиохирург -флеболог, первичная консультация </t>
  </si>
  <si>
    <t>А02.035.000</t>
  </si>
  <si>
    <t xml:space="preserve">Нарзуллаев М.Б., врач - ангиохирург -флеболог, повторная консультация </t>
  </si>
  <si>
    <t>Пребывание лиц, находящихся совместно с пациентом по уходу 1 койко-день  без учета питания и медикаментов двухместной палаты</t>
  </si>
  <si>
    <t>Пребывание лиц, находящихся совместно с пациентом по уходу 1 койко-день без учета питания и медикаментов одноместной палаты</t>
  </si>
  <si>
    <t>Пребывание лиц, находящихся совместно с пациентом по уходу 1 койко-день  без учета питания и медикаментов палата №1 (терапия 1,2)</t>
  </si>
  <si>
    <t>Пребывание лиц, находящихся совместно с пациентом по уходу 1 койко-день без учета питания и медикаментов палата №2 (терапия 1,2)</t>
  </si>
  <si>
    <t xml:space="preserve">Пребывание лиц, находящихся совместно с пациентом по уходу 1 койко-день одноместной палаты повышенной комфортности в пристройке к блоку А без учета питания и медикаментов  </t>
  </si>
  <si>
    <t xml:space="preserve"> Пребывание лиц, находящихся совместно с пациентом по уходу 1 койко-день  двухместной палаты повышенной комфортности  в пристройке к блоку А без учета питания и медикаментов </t>
  </si>
  <si>
    <t>Сестринский уход</t>
  </si>
  <si>
    <t>D93.890.018</t>
  </si>
  <si>
    <t>уход</t>
  </si>
  <si>
    <t>Эхокардиография детская</t>
  </si>
  <si>
    <t>Садыкова Замира Амировна, врач - ревматолог, первичная консультация</t>
  </si>
  <si>
    <t>Садыкова Замира Амировна, врач - ревматолог, повторная консультация</t>
  </si>
  <si>
    <t xml:space="preserve">Бисенбаева И.Ю., врач - терапевт, первичная консультация </t>
  </si>
  <si>
    <t xml:space="preserve"> 
A02.001.000</t>
  </si>
  <si>
    <t xml:space="preserve">Бисенбаева И.Ю., врач - терапевт, повторная консультация </t>
  </si>
  <si>
    <t xml:space="preserve"> 
A02.001.001</t>
  </si>
  <si>
    <t xml:space="preserve">Иммуногистохимическое исследование BOND Beta-Catenin </t>
  </si>
  <si>
    <t>Иммуногистохимическое исследование BOND Carcinoembryonic Antigen CD-10</t>
  </si>
  <si>
    <t>Иммуногистохимическое исследование BOND Carcinoembryonic Antigen CD66e</t>
  </si>
  <si>
    <t>Иммуногистохимическое исследование BOND CD 117</t>
  </si>
  <si>
    <t>Иммуногистохимическое исследование BOND CD 57</t>
  </si>
  <si>
    <t>Иммуногистохимическое исследование BOND c-erbB-2 Oncoprotein</t>
  </si>
  <si>
    <t>Иммуногистохимическое исследование BOND Cytokeratin 8</t>
  </si>
  <si>
    <t>Иммуногистохимическое исследование BOND Cytokeratin 7</t>
  </si>
  <si>
    <t xml:space="preserve">Иммуногистохимическое исследование BOND Desmin </t>
  </si>
  <si>
    <t xml:space="preserve">Иммуногистохимическое исследование BOND Dog-1 </t>
  </si>
  <si>
    <t xml:space="preserve">Иммуногистохимическое исследование BOND E-Cadherin </t>
  </si>
  <si>
    <t xml:space="preserve">Иммуногистохимическое исследование BOND Prostatic Acid Phosphatase </t>
  </si>
  <si>
    <t xml:space="preserve">Иммуногистохимическое исследование BOND Vimentin V9 </t>
  </si>
  <si>
    <t xml:space="preserve">Иммуногистохимическое исследование BOND Alpfa Fetoprotein  </t>
  </si>
  <si>
    <t xml:space="preserve">Иммуногистохимическое исследование BOND CD34  </t>
  </si>
  <si>
    <t xml:space="preserve">Иммуногистохимическое исследование BOND p63  </t>
  </si>
  <si>
    <t xml:space="preserve">Иммуногистохимическое исследование BOND Smooth Muscle Actin   </t>
  </si>
  <si>
    <t>A02.042.000</t>
  </si>
  <si>
    <t>АО "Национальный научный медицинский центр",                                                                                         ТОО "Mexel health"</t>
  </si>
  <si>
    <t>Рахметова В.С., врач -гастроэнтеролог-гепатолог, доктор медицинских наук, первичная консультация</t>
  </si>
  <si>
    <t>Рахметова В.С., врач -гастроэнтеролог-гепатолог, доктор медицинских наук, повторная консультация</t>
  </si>
  <si>
    <t>А02.022.008</t>
  </si>
  <si>
    <t>Вирус папилломы человека 16-18 (качественный)</t>
  </si>
  <si>
    <t>Вирус папилломы человека  (генотипирование 16,18,31,33,35,39,45,51,52,56,58,59 типов)</t>
  </si>
  <si>
    <t xml:space="preserve">Вирус папилломы человека 16-18 (количественный) </t>
  </si>
  <si>
    <t>В09.836.020</t>
  </si>
  <si>
    <t>Вирус папилломы человека высокого риска (16, 18,31,33,35,39,45,51,52,56,58,59,66,68), количественное определение ДНК с указанием типа вируса</t>
  </si>
  <si>
    <t xml:space="preserve"> 
B09.836.020</t>
  </si>
  <si>
    <t xml:space="preserve">Флороценоз- Кандиды, количественное определение ДНК </t>
  </si>
  <si>
    <t>B09.854.020</t>
  </si>
  <si>
    <t xml:space="preserve">Флороценоз  NCMT(Neisseria gonorrhoeae,  Chlamydia trachomatis, Mycoplasma genitalium,  Trichomonas vaginalis) </t>
  </si>
  <si>
    <t>B09.865.020</t>
  </si>
  <si>
    <t xml:space="preserve">Комплексное исследование Флороценоз №1 для женщин </t>
  </si>
  <si>
    <t>B09.853.020</t>
  </si>
  <si>
    <t>Анализ методом  GeneXpert</t>
  </si>
  <si>
    <t>B09.815.020</t>
  </si>
  <si>
    <t>В09.851.020</t>
  </si>
  <si>
    <t>Определение мочевой кислоты Экспресс методом</t>
  </si>
  <si>
    <t>B03.387.001.1</t>
  </si>
  <si>
    <t>УЗИ навигация суставов 1 анатомическая зона</t>
  </si>
  <si>
    <t>C03.910.004.1</t>
  </si>
  <si>
    <t>Купенова К.Т- терапевт, кардиолог, первичная консультация онлайн</t>
  </si>
  <si>
    <t>Купенова К.Т- терапевт, кардиолог, повторная консультация онлайн</t>
  </si>
  <si>
    <t>Выдрина И.А. врач - кардиолог, первичная консультация онлайн</t>
  </si>
  <si>
    <t>Выдрина И.А. врач - кардиолог, повторная консультация онлайн</t>
  </si>
  <si>
    <t>Сулейменова М.С. - первичная консультация эндокринолога - диетолога, нутрициолога, онлайн</t>
  </si>
  <si>
    <t>Сулейменова М.С. - повторная  консультация эндокринолога - диетолога, нутрициолога, онлайн</t>
  </si>
  <si>
    <t>Дисюкеева А.П., врач-гинеколог, первичная консультация онлайн</t>
  </si>
  <si>
    <t>Дисюкеева А.П., врач-гинеколог, повторная консультация онлайн</t>
  </si>
  <si>
    <t>Жумабекова А.Ж., врач - кардиолог, первичная консультация онлайн</t>
  </si>
  <si>
    <t>Жумабекова А.Ж., врач - кардиолог, повторная консультация онлайн</t>
  </si>
  <si>
    <t>Ермаганбетов Е.М,  врач -уролог, первичная консультация онлайн</t>
  </si>
  <si>
    <t>Ермаганбетов Е.М, врач -уролог, повторная консультация онлайн</t>
  </si>
  <si>
    <t>Магзумова Г.Е.- терапевт,  первичная консультация онлайн</t>
  </si>
  <si>
    <t>Магзумова Г.Е.- терапевт,  повторная консультация онлайн</t>
  </si>
  <si>
    <t>Консультация врача: Эндокринолога (Қоңырова С.Ж.) онлайн</t>
  </si>
  <si>
    <t>Повторная консультация врача: Эндокринолога (Қоңырова С.Ж.) онлайн</t>
  </si>
  <si>
    <t>Консультация врача: Гинеколога (Бидайық Б.) онлайн</t>
  </si>
  <si>
    <t>Повторная консультация врача: Гинеколога (Бидайық Б.) онлайн</t>
  </si>
  <si>
    <t xml:space="preserve"> ОНЛАЙН ПРИЕМ ВРАЧА </t>
  </si>
  <si>
    <t>Микроскопия мазка мокроты и прочего патологического материала</t>
  </si>
  <si>
    <t>B01.093.001</t>
  </si>
  <si>
    <t>Диагностическая пункционная биопсия под контролем УЗИ для гистологии (печень, почка)</t>
  </si>
  <si>
    <t>УЗИ - контроль биопсии</t>
  </si>
  <si>
    <t>С03.057.004</t>
  </si>
  <si>
    <t>Цитологическое исследование негинекологического материала на аппарате жидкостной цитологии с окраской по Папаникалау (ПАП тест)</t>
  </si>
  <si>
    <t>Цитологическое исследование   из шейки матки  на аппарате жидкостной цитологии с окраской по Папаникалау (ПАП тест</t>
  </si>
  <si>
    <t>В08.749.002</t>
  </si>
  <si>
    <t>Услуги транспортировки биоматериалов  до Городского центра фтизиопульмонологии</t>
  </si>
  <si>
    <t>направление</t>
  </si>
  <si>
    <t xml:space="preserve">Услуги транспортировки биоматериалов </t>
  </si>
  <si>
    <t>Садыкова Замира Амировна, врач - терапевт, первичная консультация</t>
  </si>
  <si>
    <t>Садыкова Замира Амировна, врач - терапевт, повторная консультация</t>
  </si>
  <si>
    <t>Жумашев Т.Б., врач - кардиолог, первичная консультация онлайн</t>
  </si>
  <si>
    <t>Жумашев Т.Б., врач - кардиолог, повторная консультация онлайн</t>
  </si>
  <si>
    <t>ГАСТРОЭНТЕРОЛОГ</t>
  </si>
  <si>
    <t>Эластометрия печени (методом FibroScan)</t>
  </si>
  <si>
    <t>C03.058.004</t>
  </si>
  <si>
    <t>Определение Антинейтрофильных цитоплазматических антител (cANCA, pANCA), скрининговый тест</t>
  </si>
  <si>
    <t>Развёрнутая диагностика антифосфолипидного синдрома: Антифосфолипидные антитела IgM и IgG (20 антигенов- кардиолипин, фосфатидная кислота, фосфатидилхолин, фосфатидилэтаноламин, фосфатидилглицерин, фосфатидилэнозитол, фосфатидилсерин, аннексин V, бета2-гликопротеин, протромбин)</t>
  </si>
  <si>
    <t>B08.749.002</t>
  </si>
  <si>
    <t>Цитологическое исследование мазка из шейки матки ПАП-тест на апарате жидкостной цитологии (прямая услуга)</t>
  </si>
  <si>
    <t>Цитологическое исследование  ПАП-тест на апарате жидкостной цитологии (не гинекологическое) (прямая услуга)</t>
  </si>
  <si>
    <t>В08.747.001</t>
  </si>
  <si>
    <t>Консультация операционно-биопсийный материал блок-препарата (от 1-6 блоков) Перадзе М.Н. - высшей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</si>
</sst>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4"/>
      <color rgb="FFFF0000"/>
      <name val="Times New Roman"/>
      <family val="1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10"/>
      <name val="Arial"/>
      <family val="2"/>
      <charset val="204"/>
    </font>
    <font>
      <b/>
      <i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64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3" fontId="12" fillId="0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wrapText="1"/>
    </xf>
    <xf numFmtId="0" fontId="14" fillId="0" borderId="1" xfId="0" applyFont="1" applyFill="1" applyBorder="1"/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Fill="1" applyBorder="1" applyAlignment="1">
      <alignment vertical="center" wrapText="1"/>
    </xf>
    <xf numFmtId="2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3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0" borderId="1" xfId="5" applyFont="1" applyFill="1" applyBorder="1" applyAlignment="1">
      <alignment horizontal="center" vertical="center" wrapText="1"/>
    </xf>
    <xf numFmtId="0" fontId="12" fillId="0" borderId="1" xfId="4" applyFont="1" applyFill="1" applyBorder="1" applyAlignment="1">
      <alignment vertical="center" wrapText="1"/>
    </xf>
    <xf numFmtId="0" fontId="12" fillId="0" borderId="1" xfId="6" applyFont="1" applyFill="1" applyBorder="1" applyAlignment="1">
      <alignment horizontal="left" vertical="center" wrapText="1"/>
    </xf>
    <xf numFmtId="3" fontId="12" fillId="0" borderId="1" xfId="7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6" applyFont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1" fontId="11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5" fillId="0" borderId="1" xfId="6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164" fontId="12" fillId="0" borderId="1" xfId="0" applyNumberFormat="1" applyFont="1" applyFill="1" applyBorder="1" applyAlignment="1">
      <alignment horizontal="center" vertical="center" wrapText="1"/>
    </xf>
    <xf numFmtId="0" fontId="12" fillId="0" borderId="1" xfId="6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righ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3" applyFont="1" applyFill="1" applyBorder="1" applyAlignment="1">
      <alignment horizontal="left" vertical="top" wrapText="1"/>
    </xf>
    <xf numFmtId="0" fontId="15" fillId="0" borderId="1" xfId="4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5" fillId="0" borderId="1" xfId="6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vertical="top" wrapText="1"/>
    </xf>
    <xf numFmtId="0" fontId="12" fillId="0" borderId="1" xfId="0" applyFont="1" applyFill="1" applyBorder="1" applyAlignment="1">
      <alignment wrapText="1"/>
    </xf>
    <xf numFmtId="0" fontId="15" fillId="0" borderId="1" xfId="0" applyFont="1" applyFill="1" applyBorder="1" applyAlignment="1">
      <alignment vertical="center" wrapText="1"/>
    </xf>
    <xf numFmtId="0" fontId="12" fillId="0" borderId="1" xfId="4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left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2" fillId="0" borderId="1" xfId="3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3" fontId="15" fillId="0" borderId="1" xfId="0" applyNumberFormat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left" vertical="center"/>
    </xf>
    <xf numFmtId="2" fontId="15" fillId="0" borderId="1" xfId="0" applyNumberFormat="1" applyFont="1" applyFill="1" applyBorder="1" applyAlignment="1">
      <alignment vertical="center" wrapText="1"/>
    </xf>
    <xf numFmtId="0" fontId="15" fillId="0" borderId="1" xfId="3" applyFont="1" applyFill="1" applyBorder="1" applyAlignment="1">
      <alignment vertical="center" wrapText="1"/>
    </xf>
    <xf numFmtId="2" fontId="15" fillId="0" borderId="1" xfId="0" applyNumberFormat="1" applyFont="1" applyFill="1" applyBorder="1" applyAlignment="1">
      <alignment horizontal="center" vertical="center" wrapText="1"/>
    </xf>
    <xf numFmtId="0" fontId="12" fillId="0" borderId="1" xfId="3" applyFont="1" applyFill="1" applyBorder="1" applyAlignment="1">
      <alignment horizontal="left" vertical="center" wrapText="1"/>
    </xf>
    <xf numFmtId="0" fontId="12" fillId="0" borderId="1" xfId="4" applyFont="1" applyFill="1" applyBorder="1" applyAlignment="1">
      <alignment wrapText="1"/>
    </xf>
    <xf numFmtId="0" fontId="15" fillId="0" borderId="1" xfId="4" applyFont="1" applyFill="1" applyBorder="1" applyAlignment="1">
      <alignment wrapText="1"/>
    </xf>
    <xf numFmtId="49" fontId="12" fillId="0" borderId="1" xfId="0" applyNumberFormat="1" applyFont="1" applyFill="1" applyBorder="1" applyAlignment="1">
      <alignment vertical="center" wrapText="1"/>
    </xf>
    <xf numFmtId="0" fontId="15" fillId="0" borderId="1" xfId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/>
    </xf>
    <xf numFmtId="49" fontId="12" fillId="0" borderId="1" xfId="4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1" xfId="3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4" xfId="4" applyFont="1" applyFill="1" applyBorder="1" applyAlignment="1">
      <alignment wrapText="1"/>
    </xf>
    <xf numFmtId="0" fontId="1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right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1" fontId="11" fillId="0" borderId="3" xfId="0" applyNumberFormat="1" applyFont="1" applyFill="1" applyBorder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1" fontId="11" fillId="0" borderId="5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4" xfId="0" applyNumberFormat="1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</cellXfs>
  <cellStyles count="8">
    <cellStyle name="Обычный" xfId="0" builtinId="0"/>
    <cellStyle name="Обычный 2" xfId="3"/>
    <cellStyle name="Обычный 2 2" xfId="6"/>
    <cellStyle name="Обычный 5" xfId="4"/>
    <cellStyle name="Обычный_Лист1" xfId="1"/>
    <cellStyle name="Обычный_Прейскурант окончательный" xfId="2"/>
    <cellStyle name="Обычный_Эндоскопия" xfId="7"/>
    <cellStyle name="Обычный_эндоскопия 2008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.abildina\Desktop\&#1076;&#1077;&#1082;&#1072;&#1073;&#1088;&#1100;&#1089;&#1082;&#1086;&#1077;%20&#1086;&#1073;&#1085;&#1086;&#1074;&#1083;&#1077;&#1085;&#1080;&#1077;%20&#1087;&#1088;&#1077;&#1081;&#1089;&#1082;&#1091;&#1088;&#1072;&#1085;&#1090;&#1072;%201\&#1050;&#1072;&#1083;&#1100;&#1082;&#1091;&#1083;&#1103;&#1094;&#1080;&#1103;%20&#1050;&#1044;&#105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.abildina\Desktop\&#1076;&#1077;&#1082;&#1072;&#1073;&#1088;&#1100;&#1089;&#1082;&#1086;&#1077;%20&#1086;&#1073;&#1085;&#1086;&#1074;&#1083;&#1077;&#1085;&#1080;&#1077;%20&#1087;&#1088;&#1077;&#1081;&#1089;&#1082;&#1091;&#1088;&#1072;&#1085;&#1090;&#1072;%201\&#1054;&#1087;&#1077;&#1088;&#1072;&#1094;&#1080;&#1103;%20&#1075;&#1080;&#1085;&#1077;&#1082;&#1086;&#1083;&#1086;&#1075;&#1080;&#1095;&#1077;&#1089;&#1082;&#1072;&#1103;%20&#1047;&#1072;&#1087;&#1086;&#1083;&#1085;&#1077;&#10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данные"/>
      <sheetName val="износ"/>
      <sheetName val="кальк "/>
    </sheetNames>
    <sheetDataSet>
      <sheetData sheetId="0" refreshError="1">
        <row r="9">
          <cell r="O9" t="str">
            <v>B06.163.006</v>
          </cell>
        </row>
        <row r="26">
          <cell r="O26" t="str">
            <v>B06.287.006</v>
          </cell>
        </row>
        <row r="43">
          <cell r="O43" t="str">
            <v>B06.248.006</v>
          </cell>
        </row>
      </sheetData>
      <sheetData sheetId="1" refreshError="1"/>
      <sheetData sheetId="2" refreshError="1">
        <row r="8">
          <cell r="B8" t="str">
            <v>Определение анти Мюллерова гормона в сыворотке крови методом иммунохемилюминисценции</v>
          </cell>
        </row>
        <row r="9">
          <cell r="B9" t="str">
            <v xml:space="preserve">Определение Ig M к возбудителю краснухи в сыворотке крови методом иммунохемилюминесценции </v>
          </cell>
        </row>
        <row r="10">
          <cell r="B10" t="str">
            <v xml:space="preserve">Определение Ig G  к возбудителю краснухи в сыворотке крови методом иммунохемилюминесценции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данные"/>
      <sheetName val="износ"/>
      <sheetName val="кальк "/>
    </sheetNames>
    <sheetDataSet>
      <sheetData sheetId="0" refreshError="1"/>
      <sheetData sheetId="1" refreshError="1"/>
      <sheetData sheetId="2" refreshError="1">
        <row r="11">
          <cell r="B11" t="str">
            <v>ТГЭ или  Экстирпация матки с придатками (лапароскопическая)</v>
          </cell>
          <cell r="D11" t="str">
            <v>68.61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816"/>
  <sheetViews>
    <sheetView tabSelected="1" topLeftCell="A1127" workbookViewId="0">
      <selection activeCell="B1228" sqref="B1228"/>
    </sheetView>
  </sheetViews>
  <sheetFormatPr defaultColWidth="8.85546875" defaultRowHeight="15.75" x14ac:dyDescent="0.25"/>
  <cols>
    <col min="1" max="1" width="7.42578125" style="1" customWidth="1"/>
    <col min="2" max="2" width="51" style="2" customWidth="1"/>
    <col min="3" max="3" width="14.85546875" style="2" customWidth="1"/>
    <col min="4" max="4" width="14.42578125" style="1" customWidth="1"/>
    <col min="5" max="5" width="20.140625" style="1" customWidth="1"/>
    <col min="6" max="6" width="11" style="1" customWidth="1"/>
    <col min="7" max="7" width="22" style="1" customWidth="1"/>
    <col min="8" max="8" width="13.140625" style="1" bestFit="1" customWidth="1"/>
    <col min="9" max="250" width="8.85546875" style="1"/>
    <col min="251" max="251" width="7.42578125" style="1" customWidth="1"/>
    <col min="252" max="252" width="46.28515625" style="1" customWidth="1"/>
    <col min="253" max="253" width="16" style="1" customWidth="1"/>
    <col min="254" max="254" width="11.85546875" style="1" customWidth="1"/>
    <col min="255" max="256" width="0" style="1" hidden="1" customWidth="1"/>
    <col min="257" max="257" width="19.42578125" style="1" customWidth="1"/>
    <col min="258" max="258" width="16.85546875" style="1" customWidth="1"/>
    <col min="259" max="259" width="17.140625" style="1" customWidth="1"/>
    <col min="260" max="260" width="0" style="1" hidden="1" customWidth="1"/>
    <col min="261" max="261" width="8.85546875" style="1"/>
    <col min="262" max="262" width="11" style="1" customWidth="1"/>
    <col min="263" max="263" width="22" style="1" customWidth="1"/>
    <col min="264" max="506" width="8.85546875" style="1"/>
    <col min="507" max="507" width="7.42578125" style="1" customWidth="1"/>
    <col min="508" max="508" width="46.28515625" style="1" customWidth="1"/>
    <col min="509" max="509" width="16" style="1" customWidth="1"/>
    <col min="510" max="510" width="11.85546875" style="1" customWidth="1"/>
    <col min="511" max="512" width="0" style="1" hidden="1" customWidth="1"/>
    <col min="513" max="513" width="19.42578125" style="1" customWidth="1"/>
    <col min="514" max="514" width="16.85546875" style="1" customWidth="1"/>
    <col min="515" max="515" width="17.140625" style="1" customWidth="1"/>
    <col min="516" max="516" width="0" style="1" hidden="1" customWidth="1"/>
    <col min="517" max="517" width="8.85546875" style="1"/>
    <col min="518" max="518" width="11" style="1" customWidth="1"/>
    <col min="519" max="519" width="22" style="1" customWidth="1"/>
    <col min="520" max="762" width="8.85546875" style="1"/>
    <col min="763" max="763" width="7.42578125" style="1" customWidth="1"/>
    <col min="764" max="764" width="46.28515625" style="1" customWidth="1"/>
    <col min="765" max="765" width="16" style="1" customWidth="1"/>
    <col min="766" max="766" width="11.85546875" style="1" customWidth="1"/>
    <col min="767" max="768" width="0" style="1" hidden="1" customWidth="1"/>
    <col min="769" max="769" width="19.42578125" style="1" customWidth="1"/>
    <col min="770" max="770" width="16.85546875" style="1" customWidth="1"/>
    <col min="771" max="771" width="17.140625" style="1" customWidth="1"/>
    <col min="772" max="772" width="0" style="1" hidden="1" customWidth="1"/>
    <col min="773" max="773" width="8.85546875" style="1"/>
    <col min="774" max="774" width="11" style="1" customWidth="1"/>
    <col min="775" max="775" width="22" style="1" customWidth="1"/>
    <col min="776" max="1018" width="8.85546875" style="1"/>
    <col min="1019" max="1019" width="7.42578125" style="1" customWidth="1"/>
    <col min="1020" max="1020" width="46.28515625" style="1" customWidth="1"/>
    <col min="1021" max="1021" width="16" style="1" customWidth="1"/>
    <col min="1022" max="1022" width="11.85546875" style="1" customWidth="1"/>
    <col min="1023" max="1024" width="0" style="1" hidden="1" customWidth="1"/>
    <col min="1025" max="1025" width="19.42578125" style="1" customWidth="1"/>
    <col min="1026" max="1026" width="16.85546875" style="1" customWidth="1"/>
    <col min="1027" max="1027" width="17.140625" style="1" customWidth="1"/>
    <col min="1028" max="1028" width="0" style="1" hidden="1" customWidth="1"/>
    <col min="1029" max="1029" width="8.85546875" style="1"/>
    <col min="1030" max="1030" width="11" style="1" customWidth="1"/>
    <col min="1031" max="1031" width="22" style="1" customWidth="1"/>
    <col min="1032" max="1274" width="8.85546875" style="1"/>
    <col min="1275" max="1275" width="7.42578125" style="1" customWidth="1"/>
    <col min="1276" max="1276" width="46.28515625" style="1" customWidth="1"/>
    <col min="1277" max="1277" width="16" style="1" customWidth="1"/>
    <col min="1278" max="1278" width="11.85546875" style="1" customWidth="1"/>
    <col min="1279" max="1280" width="0" style="1" hidden="1" customWidth="1"/>
    <col min="1281" max="1281" width="19.42578125" style="1" customWidth="1"/>
    <col min="1282" max="1282" width="16.85546875" style="1" customWidth="1"/>
    <col min="1283" max="1283" width="17.140625" style="1" customWidth="1"/>
    <col min="1284" max="1284" width="0" style="1" hidden="1" customWidth="1"/>
    <col min="1285" max="1285" width="8.85546875" style="1"/>
    <col min="1286" max="1286" width="11" style="1" customWidth="1"/>
    <col min="1287" max="1287" width="22" style="1" customWidth="1"/>
    <col min="1288" max="1530" width="8.85546875" style="1"/>
    <col min="1531" max="1531" width="7.42578125" style="1" customWidth="1"/>
    <col min="1532" max="1532" width="46.28515625" style="1" customWidth="1"/>
    <col min="1533" max="1533" width="16" style="1" customWidth="1"/>
    <col min="1534" max="1534" width="11.85546875" style="1" customWidth="1"/>
    <col min="1535" max="1536" width="0" style="1" hidden="1" customWidth="1"/>
    <col min="1537" max="1537" width="19.42578125" style="1" customWidth="1"/>
    <col min="1538" max="1538" width="16.85546875" style="1" customWidth="1"/>
    <col min="1539" max="1539" width="17.140625" style="1" customWidth="1"/>
    <col min="1540" max="1540" width="0" style="1" hidden="1" customWidth="1"/>
    <col min="1541" max="1541" width="8.85546875" style="1"/>
    <col min="1542" max="1542" width="11" style="1" customWidth="1"/>
    <col min="1543" max="1543" width="22" style="1" customWidth="1"/>
    <col min="1544" max="1786" width="8.85546875" style="1"/>
    <col min="1787" max="1787" width="7.42578125" style="1" customWidth="1"/>
    <col min="1788" max="1788" width="46.28515625" style="1" customWidth="1"/>
    <col min="1789" max="1789" width="16" style="1" customWidth="1"/>
    <col min="1790" max="1790" width="11.85546875" style="1" customWidth="1"/>
    <col min="1791" max="1792" width="0" style="1" hidden="1" customWidth="1"/>
    <col min="1793" max="1793" width="19.42578125" style="1" customWidth="1"/>
    <col min="1794" max="1794" width="16.85546875" style="1" customWidth="1"/>
    <col min="1795" max="1795" width="17.140625" style="1" customWidth="1"/>
    <col min="1796" max="1796" width="0" style="1" hidden="1" customWidth="1"/>
    <col min="1797" max="1797" width="8.85546875" style="1"/>
    <col min="1798" max="1798" width="11" style="1" customWidth="1"/>
    <col min="1799" max="1799" width="22" style="1" customWidth="1"/>
    <col min="1800" max="2042" width="8.85546875" style="1"/>
    <col min="2043" max="2043" width="7.42578125" style="1" customWidth="1"/>
    <col min="2044" max="2044" width="46.28515625" style="1" customWidth="1"/>
    <col min="2045" max="2045" width="16" style="1" customWidth="1"/>
    <col min="2046" max="2046" width="11.85546875" style="1" customWidth="1"/>
    <col min="2047" max="2048" width="0" style="1" hidden="1" customWidth="1"/>
    <col min="2049" max="2049" width="19.42578125" style="1" customWidth="1"/>
    <col min="2050" max="2050" width="16.85546875" style="1" customWidth="1"/>
    <col min="2051" max="2051" width="17.140625" style="1" customWidth="1"/>
    <col min="2052" max="2052" width="0" style="1" hidden="1" customWidth="1"/>
    <col min="2053" max="2053" width="8.85546875" style="1"/>
    <col min="2054" max="2054" width="11" style="1" customWidth="1"/>
    <col min="2055" max="2055" width="22" style="1" customWidth="1"/>
    <col min="2056" max="2298" width="8.85546875" style="1"/>
    <col min="2299" max="2299" width="7.42578125" style="1" customWidth="1"/>
    <col min="2300" max="2300" width="46.28515625" style="1" customWidth="1"/>
    <col min="2301" max="2301" width="16" style="1" customWidth="1"/>
    <col min="2302" max="2302" width="11.85546875" style="1" customWidth="1"/>
    <col min="2303" max="2304" width="0" style="1" hidden="1" customWidth="1"/>
    <col min="2305" max="2305" width="19.42578125" style="1" customWidth="1"/>
    <col min="2306" max="2306" width="16.85546875" style="1" customWidth="1"/>
    <col min="2307" max="2307" width="17.140625" style="1" customWidth="1"/>
    <col min="2308" max="2308" width="0" style="1" hidden="1" customWidth="1"/>
    <col min="2309" max="2309" width="8.85546875" style="1"/>
    <col min="2310" max="2310" width="11" style="1" customWidth="1"/>
    <col min="2311" max="2311" width="22" style="1" customWidth="1"/>
    <col min="2312" max="2554" width="8.85546875" style="1"/>
    <col min="2555" max="2555" width="7.42578125" style="1" customWidth="1"/>
    <col min="2556" max="2556" width="46.28515625" style="1" customWidth="1"/>
    <col min="2557" max="2557" width="16" style="1" customWidth="1"/>
    <col min="2558" max="2558" width="11.85546875" style="1" customWidth="1"/>
    <col min="2559" max="2560" width="0" style="1" hidden="1" customWidth="1"/>
    <col min="2561" max="2561" width="19.42578125" style="1" customWidth="1"/>
    <col min="2562" max="2562" width="16.85546875" style="1" customWidth="1"/>
    <col min="2563" max="2563" width="17.140625" style="1" customWidth="1"/>
    <col min="2564" max="2564" width="0" style="1" hidden="1" customWidth="1"/>
    <col min="2565" max="2565" width="8.85546875" style="1"/>
    <col min="2566" max="2566" width="11" style="1" customWidth="1"/>
    <col min="2567" max="2567" width="22" style="1" customWidth="1"/>
    <col min="2568" max="2810" width="8.85546875" style="1"/>
    <col min="2811" max="2811" width="7.42578125" style="1" customWidth="1"/>
    <col min="2812" max="2812" width="46.28515625" style="1" customWidth="1"/>
    <col min="2813" max="2813" width="16" style="1" customWidth="1"/>
    <col min="2814" max="2814" width="11.85546875" style="1" customWidth="1"/>
    <col min="2815" max="2816" width="0" style="1" hidden="1" customWidth="1"/>
    <col min="2817" max="2817" width="19.42578125" style="1" customWidth="1"/>
    <col min="2818" max="2818" width="16.85546875" style="1" customWidth="1"/>
    <col min="2819" max="2819" width="17.140625" style="1" customWidth="1"/>
    <col min="2820" max="2820" width="0" style="1" hidden="1" customWidth="1"/>
    <col min="2821" max="2821" width="8.85546875" style="1"/>
    <col min="2822" max="2822" width="11" style="1" customWidth="1"/>
    <col min="2823" max="2823" width="22" style="1" customWidth="1"/>
    <col min="2824" max="3066" width="8.85546875" style="1"/>
    <col min="3067" max="3067" width="7.42578125" style="1" customWidth="1"/>
    <col min="3068" max="3068" width="46.28515625" style="1" customWidth="1"/>
    <col min="3069" max="3069" width="16" style="1" customWidth="1"/>
    <col min="3070" max="3070" width="11.85546875" style="1" customWidth="1"/>
    <col min="3071" max="3072" width="0" style="1" hidden="1" customWidth="1"/>
    <col min="3073" max="3073" width="19.42578125" style="1" customWidth="1"/>
    <col min="3074" max="3074" width="16.85546875" style="1" customWidth="1"/>
    <col min="3075" max="3075" width="17.140625" style="1" customWidth="1"/>
    <col min="3076" max="3076" width="0" style="1" hidden="1" customWidth="1"/>
    <col min="3077" max="3077" width="8.85546875" style="1"/>
    <col min="3078" max="3078" width="11" style="1" customWidth="1"/>
    <col min="3079" max="3079" width="22" style="1" customWidth="1"/>
    <col min="3080" max="3322" width="8.85546875" style="1"/>
    <col min="3323" max="3323" width="7.42578125" style="1" customWidth="1"/>
    <col min="3324" max="3324" width="46.28515625" style="1" customWidth="1"/>
    <col min="3325" max="3325" width="16" style="1" customWidth="1"/>
    <col min="3326" max="3326" width="11.85546875" style="1" customWidth="1"/>
    <col min="3327" max="3328" width="0" style="1" hidden="1" customWidth="1"/>
    <col min="3329" max="3329" width="19.42578125" style="1" customWidth="1"/>
    <col min="3330" max="3330" width="16.85546875" style="1" customWidth="1"/>
    <col min="3331" max="3331" width="17.140625" style="1" customWidth="1"/>
    <col min="3332" max="3332" width="0" style="1" hidden="1" customWidth="1"/>
    <col min="3333" max="3333" width="8.85546875" style="1"/>
    <col min="3334" max="3334" width="11" style="1" customWidth="1"/>
    <col min="3335" max="3335" width="22" style="1" customWidth="1"/>
    <col min="3336" max="3578" width="8.85546875" style="1"/>
    <col min="3579" max="3579" width="7.42578125" style="1" customWidth="1"/>
    <col min="3580" max="3580" width="46.28515625" style="1" customWidth="1"/>
    <col min="3581" max="3581" width="16" style="1" customWidth="1"/>
    <col min="3582" max="3582" width="11.85546875" style="1" customWidth="1"/>
    <col min="3583" max="3584" width="0" style="1" hidden="1" customWidth="1"/>
    <col min="3585" max="3585" width="19.42578125" style="1" customWidth="1"/>
    <col min="3586" max="3586" width="16.85546875" style="1" customWidth="1"/>
    <col min="3587" max="3587" width="17.140625" style="1" customWidth="1"/>
    <col min="3588" max="3588" width="0" style="1" hidden="1" customWidth="1"/>
    <col min="3589" max="3589" width="8.85546875" style="1"/>
    <col min="3590" max="3590" width="11" style="1" customWidth="1"/>
    <col min="3591" max="3591" width="22" style="1" customWidth="1"/>
    <col min="3592" max="3834" width="8.85546875" style="1"/>
    <col min="3835" max="3835" width="7.42578125" style="1" customWidth="1"/>
    <col min="3836" max="3836" width="46.28515625" style="1" customWidth="1"/>
    <col min="3837" max="3837" width="16" style="1" customWidth="1"/>
    <col min="3838" max="3838" width="11.85546875" style="1" customWidth="1"/>
    <col min="3839" max="3840" width="0" style="1" hidden="1" customWidth="1"/>
    <col min="3841" max="3841" width="19.42578125" style="1" customWidth="1"/>
    <col min="3842" max="3842" width="16.85546875" style="1" customWidth="1"/>
    <col min="3843" max="3843" width="17.140625" style="1" customWidth="1"/>
    <col min="3844" max="3844" width="0" style="1" hidden="1" customWidth="1"/>
    <col min="3845" max="3845" width="8.85546875" style="1"/>
    <col min="3846" max="3846" width="11" style="1" customWidth="1"/>
    <col min="3847" max="3847" width="22" style="1" customWidth="1"/>
    <col min="3848" max="4090" width="8.85546875" style="1"/>
    <col min="4091" max="4091" width="7.42578125" style="1" customWidth="1"/>
    <col min="4092" max="4092" width="46.28515625" style="1" customWidth="1"/>
    <col min="4093" max="4093" width="16" style="1" customWidth="1"/>
    <col min="4094" max="4094" width="11.85546875" style="1" customWidth="1"/>
    <col min="4095" max="4096" width="0" style="1" hidden="1" customWidth="1"/>
    <col min="4097" max="4097" width="19.42578125" style="1" customWidth="1"/>
    <col min="4098" max="4098" width="16.85546875" style="1" customWidth="1"/>
    <col min="4099" max="4099" width="17.140625" style="1" customWidth="1"/>
    <col min="4100" max="4100" width="0" style="1" hidden="1" customWidth="1"/>
    <col min="4101" max="4101" width="8.85546875" style="1"/>
    <col min="4102" max="4102" width="11" style="1" customWidth="1"/>
    <col min="4103" max="4103" width="22" style="1" customWidth="1"/>
    <col min="4104" max="4346" width="8.85546875" style="1"/>
    <col min="4347" max="4347" width="7.42578125" style="1" customWidth="1"/>
    <col min="4348" max="4348" width="46.28515625" style="1" customWidth="1"/>
    <col min="4349" max="4349" width="16" style="1" customWidth="1"/>
    <col min="4350" max="4350" width="11.85546875" style="1" customWidth="1"/>
    <col min="4351" max="4352" width="0" style="1" hidden="1" customWidth="1"/>
    <col min="4353" max="4353" width="19.42578125" style="1" customWidth="1"/>
    <col min="4354" max="4354" width="16.85546875" style="1" customWidth="1"/>
    <col min="4355" max="4355" width="17.140625" style="1" customWidth="1"/>
    <col min="4356" max="4356" width="0" style="1" hidden="1" customWidth="1"/>
    <col min="4357" max="4357" width="8.85546875" style="1"/>
    <col min="4358" max="4358" width="11" style="1" customWidth="1"/>
    <col min="4359" max="4359" width="22" style="1" customWidth="1"/>
    <col min="4360" max="4602" width="8.85546875" style="1"/>
    <col min="4603" max="4603" width="7.42578125" style="1" customWidth="1"/>
    <col min="4604" max="4604" width="46.28515625" style="1" customWidth="1"/>
    <col min="4605" max="4605" width="16" style="1" customWidth="1"/>
    <col min="4606" max="4606" width="11.85546875" style="1" customWidth="1"/>
    <col min="4607" max="4608" width="0" style="1" hidden="1" customWidth="1"/>
    <col min="4609" max="4609" width="19.42578125" style="1" customWidth="1"/>
    <col min="4610" max="4610" width="16.85546875" style="1" customWidth="1"/>
    <col min="4611" max="4611" width="17.140625" style="1" customWidth="1"/>
    <col min="4612" max="4612" width="0" style="1" hidden="1" customWidth="1"/>
    <col min="4613" max="4613" width="8.85546875" style="1"/>
    <col min="4614" max="4614" width="11" style="1" customWidth="1"/>
    <col min="4615" max="4615" width="22" style="1" customWidth="1"/>
    <col min="4616" max="4858" width="8.85546875" style="1"/>
    <col min="4859" max="4859" width="7.42578125" style="1" customWidth="1"/>
    <col min="4860" max="4860" width="46.28515625" style="1" customWidth="1"/>
    <col min="4861" max="4861" width="16" style="1" customWidth="1"/>
    <col min="4862" max="4862" width="11.85546875" style="1" customWidth="1"/>
    <col min="4863" max="4864" width="0" style="1" hidden="1" customWidth="1"/>
    <col min="4865" max="4865" width="19.42578125" style="1" customWidth="1"/>
    <col min="4866" max="4866" width="16.85546875" style="1" customWidth="1"/>
    <col min="4867" max="4867" width="17.140625" style="1" customWidth="1"/>
    <col min="4868" max="4868" width="0" style="1" hidden="1" customWidth="1"/>
    <col min="4869" max="4869" width="8.85546875" style="1"/>
    <col min="4870" max="4870" width="11" style="1" customWidth="1"/>
    <col min="4871" max="4871" width="22" style="1" customWidth="1"/>
    <col min="4872" max="5114" width="8.85546875" style="1"/>
    <col min="5115" max="5115" width="7.42578125" style="1" customWidth="1"/>
    <col min="5116" max="5116" width="46.28515625" style="1" customWidth="1"/>
    <col min="5117" max="5117" width="16" style="1" customWidth="1"/>
    <col min="5118" max="5118" width="11.85546875" style="1" customWidth="1"/>
    <col min="5119" max="5120" width="0" style="1" hidden="1" customWidth="1"/>
    <col min="5121" max="5121" width="19.42578125" style="1" customWidth="1"/>
    <col min="5122" max="5122" width="16.85546875" style="1" customWidth="1"/>
    <col min="5123" max="5123" width="17.140625" style="1" customWidth="1"/>
    <col min="5124" max="5124" width="0" style="1" hidden="1" customWidth="1"/>
    <col min="5125" max="5125" width="8.85546875" style="1"/>
    <col min="5126" max="5126" width="11" style="1" customWidth="1"/>
    <col min="5127" max="5127" width="22" style="1" customWidth="1"/>
    <col min="5128" max="5370" width="8.85546875" style="1"/>
    <col min="5371" max="5371" width="7.42578125" style="1" customWidth="1"/>
    <col min="5372" max="5372" width="46.28515625" style="1" customWidth="1"/>
    <col min="5373" max="5373" width="16" style="1" customWidth="1"/>
    <col min="5374" max="5374" width="11.85546875" style="1" customWidth="1"/>
    <col min="5375" max="5376" width="0" style="1" hidden="1" customWidth="1"/>
    <col min="5377" max="5377" width="19.42578125" style="1" customWidth="1"/>
    <col min="5378" max="5378" width="16.85546875" style="1" customWidth="1"/>
    <col min="5379" max="5379" width="17.140625" style="1" customWidth="1"/>
    <col min="5380" max="5380" width="0" style="1" hidden="1" customWidth="1"/>
    <col min="5381" max="5381" width="8.85546875" style="1"/>
    <col min="5382" max="5382" width="11" style="1" customWidth="1"/>
    <col min="5383" max="5383" width="22" style="1" customWidth="1"/>
    <col min="5384" max="5626" width="8.85546875" style="1"/>
    <col min="5627" max="5627" width="7.42578125" style="1" customWidth="1"/>
    <col min="5628" max="5628" width="46.28515625" style="1" customWidth="1"/>
    <col min="5629" max="5629" width="16" style="1" customWidth="1"/>
    <col min="5630" max="5630" width="11.85546875" style="1" customWidth="1"/>
    <col min="5631" max="5632" width="0" style="1" hidden="1" customWidth="1"/>
    <col min="5633" max="5633" width="19.42578125" style="1" customWidth="1"/>
    <col min="5634" max="5634" width="16.85546875" style="1" customWidth="1"/>
    <col min="5635" max="5635" width="17.140625" style="1" customWidth="1"/>
    <col min="5636" max="5636" width="0" style="1" hidden="1" customWidth="1"/>
    <col min="5637" max="5637" width="8.85546875" style="1"/>
    <col min="5638" max="5638" width="11" style="1" customWidth="1"/>
    <col min="5639" max="5639" width="22" style="1" customWidth="1"/>
    <col min="5640" max="5882" width="8.85546875" style="1"/>
    <col min="5883" max="5883" width="7.42578125" style="1" customWidth="1"/>
    <col min="5884" max="5884" width="46.28515625" style="1" customWidth="1"/>
    <col min="5885" max="5885" width="16" style="1" customWidth="1"/>
    <col min="5886" max="5886" width="11.85546875" style="1" customWidth="1"/>
    <col min="5887" max="5888" width="0" style="1" hidden="1" customWidth="1"/>
    <col min="5889" max="5889" width="19.42578125" style="1" customWidth="1"/>
    <col min="5890" max="5890" width="16.85546875" style="1" customWidth="1"/>
    <col min="5891" max="5891" width="17.140625" style="1" customWidth="1"/>
    <col min="5892" max="5892" width="0" style="1" hidden="1" customWidth="1"/>
    <col min="5893" max="5893" width="8.85546875" style="1"/>
    <col min="5894" max="5894" width="11" style="1" customWidth="1"/>
    <col min="5895" max="5895" width="22" style="1" customWidth="1"/>
    <col min="5896" max="6138" width="8.85546875" style="1"/>
    <col min="6139" max="6139" width="7.42578125" style="1" customWidth="1"/>
    <col min="6140" max="6140" width="46.28515625" style="1" customWidth="1"/>
    <col min="6141" max="6141" width="16" style="1" customWidth="1"/>
    <col min="6142" max="6142" width="11.85546875" style="1" customWidth="1"/>
    <col min="6143" max="6144" width="0" style="1" hidden="1" customWidth="1"/>
    <col min="6145" max="6145" width="19.42578125" style="1" customWidth="1"/>
    <col min="6146" max="6146" width="16.85546875" style="1" customWidth="1"/>
    <col min="6147" max="6147" width="17.140625" style="1" customWidth="1"/>
    <col min="6148" max="6148" width="0" style="1" hidden="1" customWidth="1"/>
    <col min="6149" max="6149" width="8.85546875" style="1"/>
    <col min="6150" max="6150" width="11" style="1" customWidth="1"/>
    <col min="6151" max="6151" width="22" style="1" customWidth="1"/>
    <col min="6152" max="6394" width="8.85546875" style="1"/>
    <col min="6395" max="6395" width="7.42578125" style="1" customWidth="1"/>
    <col min="6396" max="6396" width="46.28515625" style="1" customWidth="1"/>
    <col min="6397" max="6397" width="16" style="1" customWidth="1"/>
    <col min="6398" max="6398" width="11.85546875" style="1" customWidth="1"/>
    <col min="6399" max="6400" width="0" style="1" hidden="1" customWidth="1"/>
    <col min="6401" max="6401" width="19.42578125" style="1" customWidth="1"/>
    <col min="6402" max="6402" width="16.85546875" style="1" customWidth="1"/>
    <col min="6403" max="6403" width="17.140625" style="1" customWidth="1"/>
    <col min="6404" max="6404" width="0" style="1" hidden="1" customWidth="1"/>
    <col min="6405" max="6405" width="8.85546875" style="1"/>
    <col min="6406" max="6406" width="11" style="1" customWidth="1"/>
    <col min="6407" max="6407" width="22" style="1" customWidth="1"/>
    <col min="6408" max="6650" width="8.85546875" style="1"/>
    <col min="6651" max="6651" width="7.42578125" style="1" customWidth="1"/>
    <col min="6652" max="6652" width="46.28515625" style="1" customWidth="1"/>
    <col min="6653" max="6653" width="16" style="1" customWidth="1"/>
    <col min="6654" max="6654" width="11.85546875" style="1" customWidth="1"/>
    <col min="6655" max="6656" width="0" style="1" hidden="1" customWidth="1"/>
    <col min="6657" max="6657" width="19.42578125" style="1" customWidth="1"/>
    <col min="6658" max="6658" width="16.85546875" style="1" customWidth="1"/>
    <col min="6659" max="6659" width="17.140625" style="1" customWidth="1"/>
    <col min="6660" max="6660" width="0" style="1" hidden="1" customWidth="1"/>
    <col min="6661" max="6661" width="8.85546875" style="1"/>
    <col min="6662" max="6662" width="11" style="1" customWidth="1"/>
    <col min="6663" max="6663" width="22" style="1" customWidth="1"/>
    <col min="6664" max="6906" width="8.85546875" style="1"/>
    <col min="6907" max="6907" width="7.42578125" style="1" customWidth="1"/>
    <col min="6908" max="6908" width="46.28515625" style="1" customWidth="1"/>
    <col min="6909" max="6909" width="16" style="1" customWidth="1"/>
    <col min="6910" max="6910" width="11.85546875" style="1" customWidth="1"/>
    <col min="6911" max="6912" width="0" style="1" hidden="1" customWidth="1"/>
    <col min="6913" max="6913" width="19.42578125" style="1" customWidth="1"/>
    <col min="6914" max="6914" width="16.85546875" style="1" customWidth="1"/>
    <col min="6915" max="6915" width="17.140625" style="1" customWidth="1"/>
    <col min="6916" max="6916" width="0" style="1" hidden="1" customWidth="1"/>
    <col min="6917" max="6917" width="8.85546875" style="1"/>
    <col min="6918" max="6918" width="11" style="1" customWidth="1"/>
    <col min="6919" max="6919" width="22" style="1" customWidth="1"/>
    <col min="6920" max="7162" width="8.85546875" style="1"/>
    <col min="7163" max="7163" width="7.42578125" style="1" customWidth="1"/>
    <col min="7164" max="7164" width="46.28515625" style="1" customWidth="1"/>
    <col min="7165" max="7165" width="16" style="1" customWidth="1"/>
    <col min="7166" max="7166" width="11.85546875" style="1" customWidth="1"/>
    <col min="7167" max="7168" width="0" style="1" hidden="1" customWidth="1"/>
    <col min="7169" max="7169" width="19.42578125" style="1" customWidth="1"/>
    <col min="7170" max="7170" width="16.85546875" style="1" customWidth="1"/>
    <col min="7171" max="7171" width="17.140625" style="1" customWidth="1"/>
    <col min="7172" max="7172" width="0" style="1" hidden="1" customWidth="1"/>
    <col min="7173" max="7173" width="8.85546875" style="1"/>
    <col min="7174" max="7174" width="11" style="1" customWidth="1"/>
    <col min="7175" max="7175" width="22" style="1" customWidth="1"/>
    <col min="7176" max="7418" width="8.85546875" style="1"/>
    <col min="7419" max="7419" width="7.42578125" style="1" customWidth="1"/>
    <col min="7420" max="7420" width="46.28515625" style="1" customWidth="1"/>
    <col min="7421" max="7421" width="16" style="1" customWidth="1"/>
    <col min="7422" max="7422" width="11.85546875" style="1" customWidth="1"/>
    <col min="7423" max="7424" width="0" style="1" hidden="1" customWidth="1"/>
    <col min="7425" max="7425" width="19.42578125" style="1" customWidth="1"/>
    <col min="7426" max="7426" width="16.85546875" style="1" customWidth="1"/>
    <col min="7427" max="7427" width="17.140625" style="1" customWidth="1"/>
    <col min="7428" max="7428" width="0" style="1" hidden="1" customWidth="1"/>
    <col min="7429" max="7429" width="8.85546875" style="1"/>
    <col min="7430" max="7430" width="11" style="1" customWidth="1"/>
    <col min="7431" max="7431" width="22" style="1" customWidth="1"/>
    <col min="7432" max="7674" width="8.85546875" style="1"/>
    <col min="7675" max="7675" width="7.42578125" style="1" customWidth="1"/>
    <col min="7676" max="7676" width="46.28515625" style="1" customWidth="1"/>
    <col min="7677" max="7677" width="16" style="1" customWidth="1"/>
    <col min="7678" max="7678" width="11.85546875" style="1" customWidth="1"/>
    <col min="7679" max="7680" width="0" style="1" hidden="1" customWidth="1"/>
    <col min="7681" max="7681" width="19.42578125" style="1" customWidth="1"/>
    <col min="7682" max="7682" width="16.85546875" style="1" customWidth="1"/>
    <col min="7683" max="7683" width="17.140625" style="1" customWidth="1"/>
    <col min="7684" max="7684" width="0" style="1" hidden="1" customWidth="1"/>
    <col min="7685" max="7685" width="8.85546875" style="1"/>
    <col min="7686" max="7686" width="11" style="1" customWidth="1"/>
    <col min="7687" max="7687" width="22" style="1" customWidth="1"/>
    <col min="7688" max="7930" width="8.85546875" style="1"/>
    <col min="7931" max="7931" width="7.42578125" style="1" customWidth="1"/>
    <col min="7932" max="7932" width="46.28515625" style="1" customWidth="1"/>
    <col min="7933" max="7933" width="16" style="1" customWidth="1"/>
    <col min="7934" max="7934" width="11.85546875" style="1" customWidth="1"/>
    <col min="7935" max="7936" width="0" style="1" hidden="1" customWidth="1"/>
    <col min="7937" max="7937" width="19.42578125" style="1" customWidth="1"/>
    <col min="7938" max="7938" width="16.85546875" style="1" customWidth="1"/>
    <col min="7939" max="7939" width="17.140625" style="1" customWidth="1"/>
    <col min="7940" max="7940" width="0" style="1" hidden="1" customWidth="1"/>
    <col min="7941" max="7941" width="8.85546875" style="1"/>
    <col min="7942" max="7942" width="11" style="1" customWidth="1"/>
    <col min="7943" max="7943" width="22" style="1" customWidth="1"/>
    <col min="7944" max="8186" width="8.85546875" style="1"/>
    <col min="8187" max="8187" width="7.42578125" style="1" customWidth="1"/>
    <col min="8188" max="8188" width="46.28515625" style="1" customWidth="1"/>
    <col min="8189" max="8189" width="16" style="1" customWidth="1"/>
    <col min="8190" max="8190" width="11.85546875" style="1" customWidth="1"/>
    <col min="8191" max="8192" width="0" style="1" hidden="1" customWidth="1"/>
    <col min="8193" max="8193" width="19.42578125" style="1" customWidth="1"/>
    <col min="8194" max="8194" width="16.85546875" style="1" customWidth="1"/>
    <col min="8195" max="8195" width="17.140625" style="1" customWidth="1"/>
    <col min="8196" max="8196" width="0" style="1" hidden="1" customWidth="1"/>
    <col min="8197" max="8197" width="8.85546875" style="1"/>
    <col min="8198" max="8198" width="11" style="1" customWidth="1"/>
    <col min="8199" max="8199" width="22" style="1" customWidth="1"/>
    <col min="8200" max="8442" width="8.85546875" style="1"/>
    <col min="8443" max="8443" width="7.42578125" style="1" customWidth="1"/>
    <col min="8444" max="8444" width="46.28515625" style="1" customWidth="1"/>
    <col min="8445" max="8445" width="16" style="1" customWidth="1"/>
    <col min="8446" max="8446" width="11.85546875" style="1" customWidth="1"/>
    <col min="8447" max="8448" width="0" style="1" hidden="1" customWidth="1"/>
    <col min="8449" max="8449" width="19.42578125" style="1" customWidth="1"/>
    <col min="8450" max="8450" width="16.85546875" style="1" customWidth="1"/>
    <col min="8451" max="8451" width="17.140625" style="1" customWidth="1"/>
    <col min="8452" max="8452" width="0" style="1" hidden="1" customWidth="1"/>
    <col min="8453" max="8453" width="8.85546875" style="1"/>
    <col min="8454" max="8454" width="11" style="1" customWidth="1"/>
    <col min="8455" max="8455" width="22" style="1" customWidth="1"/>
    <col min="8456" max="8698" width="8.85546875" style="1"/>
    <col min="8699" max="8699" width="7.42578125" style="1" customWidth="1"/>
    <col min="8700" max="8700" width="46.28515625" style="1" customWidth="1"/>
    <col min="8701" max="8701" width="16" style="1" customWidth="1"/>
    <col min="8702" max="8702" width="11.85546875" style="1" customWidth="1"/>
    <col min="8703" max="8704" width="0" style="1" hidden="1" customWidth="1"/>
    <col min="8705" max="8705" width="19.42578125" style="1" customWidth="1"/>
    <col min="8706" max="8706" width="16.85546875" style="1" customWidth="1"/>
    <col min="8707" max="8707" width="17.140625" style="1" customWidth="1"/>
    <col min="8708" max="8708" width="0" style="1" hidden="1" customWidth="1"/>
    <col min="8709" max="8709" width="8.85546875" style="1"/>
    <col min="8710" max="8710" width="11" style="1" customWidth="1"/>
    <col min="8711" max="8711" width="22" style="1" customWidth="1"/>
    <col min="8712" max="8954" width="8.85546875" style="1"/>
    <col min="8955" max="8955" width="7.42578125" style="1" customWidth="1"/>
    <col min="8956" max="8956" width="46.28515625" style="1" customWidth="1"/>
    <col min="8957" max="8957" width="16" style="1" customWidth="1"/>
    <col min="8958" max="8958" width="11.85546875" style="1" customWidth="1"/>
    <col min="8959" max="8960" width="0" style="1" hidden="1" customWidth="1"/>
    <col min="8961" max="8961" width="19.42578125" style="1" customWidth="1"/>
    <col min="8962" max="8962" width="16.85546875" style="1" customWidth="1"/>
    <col min="8963" max="8963" width="17.140625" style="1" customWidth="1"/>
    <col min="8964" max="8964" width="0" style="1" hidden="1" customWidth="1"/>
    <col min="8965" max="8965" width="8.85546875" style="1"/>
    <col min="8966" max="8966" width="11" style="1" customWidth="1"/>
    <col min="8967" max="8967" width="22" style="1" customWidth="1"/>
    <col min="8968" max="9210" width="8.85546875" style="1"/>
    <col min="9211" max="9211" width="7.42578125" style="1" customWidth="1"/>
    <col min="9212" max="9212" width="46.28515625" style="1" customWidth="1"/>
    <col min="9213" max="9213" width="16" style="1" customWidth="1"/>
    <col min="9214" max="9214" width="11.85546875" style="1" customWidth="1"/>
    <col min="9215" max="9216" width="0" style="1" hidden="1" customWidth="1"/>
    <col min="9217" max="9217" width="19.42578125" style="1" customWidth="1"/>
    <col min="9218" max="9218" width="16.85546875" style="1" customWidth="1"/>
    <col min="9219" max="9219" width="17.140625" style="1" customWidth="1"/>
    <col min="9220" max="9220" width="0" style="1" hidden="1" customWidth="1"/>
    <col min="9221" max="9221" width="8.85546875" style="1"/>
    <col min="9222" max="9222" width="11" style="1" customWidth="1"/>
    <col min="9223" max="9223" width="22" style="1" customWidth="1"/>
    <col min="9224" max="9466" width="8.85546875" style="1"/>
    <col min="9467" max="9467" width="7.42578125" style="1" customWidth="1"/>
    <col min="9468" max="9468" width="46.28515625" style="1" customWidth="1"/>
    <col min="9469" max="9469" width="16" style="1" customWidth="1"/>
    <col min="9470" max="9470" width="11.85546875" style="1" customWidth="1"/>
    <col min="9471" max="9472" width="0" style="1" hidden="1" customWidth="1"/>
    <col min="9473" max="9473" width="19.42578125" style="1" customWidth="1"/>
    <col min="9474" max="9474" width="16.85546875" style="1" customWidth="1"/>
    <col min="9475" max="9475" width="17.140625" style="1" customWidth="1"/>
    <col min="9476" max="9476" width="0" style="1" hidden="1" customWidth="1"/>
    <col min="9477" max="9477" width="8.85546875" style="1"/>
    <col min="9478" max="9478" width="11" style="1" customWidth="1"/>
    <col min="9479" max="9479" width="22" style="1" customWidth="1"/>
    <col min="9480" max="9722" width="8.85546875" style="1"/>
    <col min="9723" max="9723" width="7.42578125" style="1" customWidth="1"/>
    <col min="9724" max="9724" width="46.28515625" style="1" customWidth="1"/>
    <col min="9725" max="9725" width="16" style="1" customWidth="1"/>
    <col min="9726" max="9726" width="11.85546875" style="1" customWidth="1"/>
    <col min="9727" max="9728" width="0" style="1" hidden="1" customWidth="1"/>
    <col min="9729" max="9729" width="19.42578125" style="1" customWidth="1"/>
    <col min="9730" max="9730" width="16.85546875" style="1" customWidth="1"/>
    <col min="9731" max="9731" width="17.140625" style="1" customWidth="1"/>
    <col min="9732" max="9732" width="0" style="1" hidden="1" customWidth="1"/>
    <col min="9733" max="9733" width="8.85546875" style="1"/>
    <col min="9734" max="9734" width="11" style="1" customWidth="1"/>
    <col min="9735" max="9735" width="22" style="1" customWidth="1"/>
    <col min="9736" max="9978" width="8.85546875" style="1"/>
    <col min="9979" max="9979" width="7.42578125" style="1" customWidth="1"/>
    <col min="9980" max="9980" width="46.28515625" style="1" customWidth="1"/>
    <col min="9981" max="9981" width="16" style="1" customWidth="1"/>
    <col min="9982" max="9982" width="11.85546875" style="1" customWidth="1"/>
    <col min="9983" max="9984" width="0" style="1" hidden="1" customWidth="1"/>
    <col min="9985" max="9985" width="19.42578125" style="1" customWidth="1"/>
    <col min="9986" max="9986" width="16.85546875" style="1" customWidth="1"/>
    <col min="9987" max="9987" width="17.140625" style="1" customWidth="1"/>
    <col min="9988" max="9988" width="0" style="1" hidden="1" customWidth="1"/>
    <col min="9989" max="9989" width="8.85546875" style="1"/>
    <col min="9990" max="9990" width="11" style="1" customWidth="1"/>
    <col min="9991" max="9991" width="22" style="1" customWidth="1"/>
    <col min="9992" max="10234" width="8.85546875" style="1"/>
    <col min="10235" max="10235" width="7.42578125" style="1" customWidth="1"/>
    <col min="10236" max="10236" width="46.28515625" style="1" customWidth="1"/>
    <col min="10237" max="10237" width="16" style="1" customWidth="1"/>
    <col min="10238" max="10238" width="11.85546875" style="1" customWidth="1"/>
    <col min="10239" max="10240" width="0" style="1" hidden="1" customWidth="1"/>
    <col min="10241" max="10241" width="19.42578125" style="1" customWidth="1"/>
    <col min="10242" max="10242" width="16.85546875" style="1" customWidth="1"/>
    <col min="10243" max="10243" width="17.140625" style="1" customWidth="1"/>
    <col min="10244" max="10244" width="0" style="1" hidden="1" customWidth="1"/>
    <col min="10245" max="10245" width="8.85546875" style="1"/>
    <col min="10246" max="10246" width="11" style="1" customWidth="1"/>
    <col min="10247" max="10247" width="22" style="1" customWidth="1"/>
    <col min="10248" max="10490" width="8.85546875" style="1"/>
    <col min="10491" max="10491" width="7.42578125" style="1" customWidth="1"/>
    <col min="10492" max="10492" width="46.28515625" style="1" customWidth="1"/>
    <col min="10493" max="10493" width="16" style="1" customWidth="1"/>
    <col min="10494" max="10494" width="11.85546875" style="1" customWidth="1"/>
    <col min="10495" max="10496" width="0" style="1" hidden="1" customWidth="1"/>
    <col min="10497" max="10497" width="19.42578125" style="1" customWidth="1"/>
    <col min="10498" max="10498" width="16.85546875" style="1" customWidth="1"/>
    <col min="10499" max="10499" width="17.140625" style="1" customWidth="1"/>
    <col min="10500" max="10500" width="0" style="1" hidden="1" customWidth="1"/>
    <col min="10501" max="10501" width="8.85546875" style="1"/>
    <col min="10502" max="10502" width="11" style="1" customWidth="1"/>
    <col min="10503" max="10503" width="22" style="1" customWidth="1"/>
    <col min="10504" max="10746" width="8.85546875" style="1"/>
    <col min="10747" max="10747" width="7.42578125" style="1" customWidth="1"/>
    <col min="10748" max="10748" width="46.28515625" style="1" customWidth="1"/>
    <col min="10749" max="10749" width="16" style="1" customWidth="1"/>
    <col min="10750" max="10750" width="11.85546875" style="1" customWidth="1"/>
    <col min="10751" max="10752" width="0" style="1" hidden="1" customWidth="1"/>
    <col min="10753" max="10753" width="19.42578125" style="1" customWidth="1"/>
    <col min="10754" max="10754" width="16.85546875" style="1" customWidth="1"/>
    <col min="10755" max="10755" width="17.140625" style="1" customWidth="1"/>
    <col min="10756" max="10756" width="0" style="1" hidden="1" customWidth="1"/>
    <col min="10757" max="10757" width="8.85546875" style="1"/>
    <col min="10758" max="10758" width="11" style="1" customWidth="1"/>
    <col min="10759" max="10759" width="22" style="1" customWidth="1"/>
    <col min="10760" max="11002" width="8.85546875" style="1"/>
    <col min="11003" max="11003" width="7.42578125" style="1" customWidth="1"/>
    <col min="11004" max="11004" width="46.28515625" style="1" customWidth="1"/>
    <col min="11005" max="11005" width="16" style="1" customWidth="1"/>
    <col min="11006" max="11006" width="11.85546875" style="1" customWidth="1"/>
    <col min="11007" max="11008" width="0" style="1" hidden="1" customWidth="1"/>
    <col min="11009" max="11009" width="19.42578125" style="1" customWidth="1"/>
    <col min="11010" max="11010" width="16.85546875" style="1" customWidth="1"/>
    <col min="11011" max="11011" width="17.140625" style="1" customWidth="1"/>
    <col min="11012" max="11012" width="0" style="1" hidden="1" customWidth="1"/>
    <col min="11013" max="11013" width="8.85546875" style="1"/>
    <col min="11014" max="11014" width="11" style="1" customWidth="1"/>
    <col min="11015" max="11015" width="22" style="1" customWidth="1"/>
    <col min="11016" max="11258" width="8.85546875" style="1"/>
    <col min="11259" max="11259" width="7.42578125" style="1" customWidth="1"/>
    <col min="11260" max="11260" width="46.28515625" style="1" customWidth="1"/>
    <col min="11261" max="11261" width="16" style="1" customWidth="1"/>
    <col min="11262" max="11262" width="11.85546875" style="1" customWidth="1"/>
    <col min="11263" max="11264" width="0" style="1" hidden="1" customWidth="1"/>
    <col min="11265" max="11265" width="19.42578125" style="1" customWidth="1"/>
    <col min="11266" max="11266" width="16.85546875" style="1" customWidth="1"/>
    <col min="11267" max="11267" width="17.140625" style="1" customWidth="1"/>
    <col min="11268" max="11268" width="0" style="1" hidden="1" customWidth="1"/>
    <col min="11269" max="11269" width="8.85546875" style="1"/>
    <col min="11270" max="11270" width="11" style="1" customWidth="1"/>
    <col min="11271" max="11271" width="22" style="1" customWidth="1"/>
    <col min="11272" max="11514" width="8.85546875" style="1"/>
    <col min="11515" max="11515" width="7.42578125" style="1" customWidth="1"/>
    <col min="11516" max="11516" width="46.28515625" style="1" customWidth="1"/>
    <col min="11517" max="11517" width="16" style="1" customWidth="1"/>
    <col min="11518" max="11518" width="11.85546875" style="1" customWidth="1"/>
    <col min="11519" max="11520" width="0" style="1" hidden="1" customWidth="1"/>
    <col min="11521" max="11521" width="19.42578125" style="1" customWidth="1"/>
    <col min="11522" max="11522" width="16.85546875" style="1" customWidth="1"/>
    <col min="11523" max="11523" width="17.140625" style="1" customWidth="1"/>
    <col min="11524" max="11524" width="0" style="1" hidden="1" customWidth="1"/>
    <col min="11525" max="11525" width="8.85546875" style="1"/>
    <col min="11526" max="11526" width="11" style="1" customWidth="1"/>
    <col min="11527" max="11527" width="22" style="1" customWidth="1"/>
    <col min="11528" max="11770" width="8.85546875" style="1"/>
    <col min="11771" max="11771" width="7.42578125" style="1" customWidth="1"/>
    <col min="11772" max="11772" width="46.28515625" style="1" customWidth="1"/>
    <col min="11773" max="11773" width="16" style="1" customWidth="1"/>
    <col min="11774" max="11774" width="11.85546875" style="1" customWidth="1"/>
    <col min="11775" max="11776" width="0" style="1" hidden="1" customWidth="1"/>
    <col min="11777" max="11777" width="19.42578125" style="1" customWidth="1"/>
    <col min="11778" max="11778" width="16.85546875" style="1" customWidth="1"/>
    <col min="11779" max="11779" width="17.140625" style="1" customWidth="1"/>
    <col min="11780" max="11780" width="0" style="1" hidden="1" customWidth="1"/>
    <col min="11781" max="11781" width="8.85546875" style="1"/>
    <col min="11782" max="11782" width="11" style="1" customWidth="1"/>
    <col min="11783" max="11783" width="22" style="1" customWidth="1"/>
    <col min="11784" max="12026" width="8.85546875" style="1"/>
    <col min="12027" max="12027" width="7.42578125" style="1" customWidth="1"/>
    <col min="12028" max="12028" width="46.28515625" style="1" customWidth="1"/>
    <col min="12029" max="12029" width="16" style="1" customWidth="1"/>
    <col min="12030" max="12030" width="11.85546875" style="1" customWidth="1"/>
    <col min="12031" max="12032" width="0" style="1" hidden="1" customWidth="1"/>
    <col min="12033" max="12033" width="19.42578125" style="1" customWidth="1"/>
    <col min="12034" max="12034" width="16.85546875" style="1" customWidth="1"/>
    <col min="12035" max="12035" width="17.140625" style="1" customWidth="1"/>
    <col min="12036" max="12036" width="0" style="1" hidden="1" customWidth="1"/>
    <col min="12037" max="12037" width="8.85546875" style="1"/>
    <col min="12038" max="12038" width="11" style="1" customWidth="1"/>
    <col min="12039" max="12039" width="22" style="1" customWidth="1"/>
    <col min="12040" max="12282" width="8.85546875" style="1"/>
    <col min="12283" max="12283" width="7.42578125" style="1" customWidth="1"/>
    <col min="12284" max="12284" width="46.28515625" style="1" customWidth="1"/>
    <col min="12285" max="12285" width="16" style="1" customWidth="1"/>
    <col min="12286" max="12286" width="11.85546875" style="1" customWidth="1"/>
    <col min="12287" max="12288" width="0" style="1" hidden="1" customWidth="1"/>
    <col min="12289" max="12289" width="19.42578125" style="1" customWidth="1"/>
    <col min="12290" max="12290" width="16.85546875" style="1" customWidth="1"/>
    <col min="12291" max="12291" width="17.140625" style="1" customWidth="1"/>
    <col min="12292" max="12292" width="0" style="1" hidden="1" customWidth="1"/>
    <col min="12293" max="12293" width="8.85546875" style="1"/>
    <col min="12294" max="12294" width="11" style="1" customWidth="1"/>
    <col min="12295" max="12295" width="22" style="1" customWidth="1"/>
    <col min="12296" max="12538" width="8.85546875" style="1"/>
    <col min="12539" max="12539" width="7.42578125" style="1" customWidth="1"/>
    <col min="12540" max="12540" width="46.28515625" style="1" customWidth="1"/>
    <col min="12541" max="12541" width="16" style="1" customWidth="1"/>
    <col min="12542" max="12542" width="11.85546875" style="1" customWidth="1"/>
    <col min="12543" max="12544" width="0" style="1" hidden="1" customWidth="1"/>
    <col min="12545" max="12545" width="19.42578125" style="1" customWidth="1"/>
    <col min="12546" max="12546" width="16.85546875" style="1" customWidth="1"/>
    <col min="12547" max="12547" width="17.140625" style="1" customWidth="1"/>
    <col min="12548" max="12548" width="0" style="1" hidden="1" customWidth="1"/>
    <col min="12549" max="12549" width="8.85546875" style="1"/>
    <col min="12550" max="12550" width="11" style="1" customWidth="1"/>
    <col min="12551" max="12551" width="22" style="1" customWidth="1"/>
    <col min="12552" max="12794" width="8.85546875" style="1"/>
    <col min="12795" max="12795" width="7.42578125" style="1" customWidth="1"/>
    <col min="12796" max="12796" width="46.28515625" style="1" customWidth="1"/>
    <col min="12797" max="12797" width="16" style="1" customWidth="1"/>
    <col min="12798" max="12798" width="11.85546875" style="1" customWidth="1"/>
    <col min="12799" max="12800" width="0" style="1" hidden="1" customWidth="1"/>
    <col min="12801" max="12801" width="19.42578125" style="1" customWidth="1"/>
    <col min="12802" max="12802" width="16.85546875" style="1" customWidth="1"/>
    <col min="12803" max="12803" width="17.140625" style="1" customWidth="1"/>
    <col min="12804" max="12804" width="0" style="1" hidden="1" customWidth="1"/>
    <col min="12805" max="12805" width="8.85546875" style="1"/>
    <col min="12806" max="12806" width="11" style="1" customWidth="1"/>
    <col min="12807" max="12807" width="22" style="1" customWidth="1"/>
    <col min="12808" max="13050" width="8.85546875" style="1"/>
    <col min="13051" max="13051" width="7.42578125" style="1" customWidth="1"/>
    <col min="13052" max="13052" width="46.28515625" style="1" customWidth="1"/>
    <col min="13053" max="13053" width="16" style="1" customWidth="1"/>
    <col min="13054" max="13054" width="11.85546875" style="1" customWidth="1"/>
    <col min="13055" max="13056" width="0" style="1" hidden="1" customWidth="1"/>
    <col min="13057" max="13057" width="19.42578125" style="1" customWidth="1"/>
    <col min="13058" max="13058" width="16.85546875" style="1" customWidth="1"/>
    <col min="13059" max="13059" width="17.140625" style="1" customWidth="1"/>
    <col min="13060" max="13060" width="0" style="1" hidden="1" customWidth="1"/>
    <col min="13061" max="13061" width="8.85546875" style="1"/>
    <col min="13062" max="13062" width="11" style="1" customWidth="1"/>
    <col min="13063" max="13063" width="22" style="1" customWidth="1"/>
    <col min="13064" max="13306" width="8.85546875" style="1"/>
    <col min="13307" max="13307" width="7.42578125" style="1" customWidth="1"/>
    <col min="13308" max="13308" width="46.28515625" style="1" customWidth="1"/>
    <col min="13309" max="13309" width="16" style="1" customWidth="1"/>
    <col min="13310" max="13310" width="11.85546875" style="1" customWidth="1"/>
    <col min="13311" max="13312" width="0" style="1" hidden="1" customWidth="1"/>
    <col min="13313" max="13313" width="19.42578125" style="1" customWidth="1"/>
    <col min="13314" max="13314" width="16.85546875" style="1" customWidth="1"/>
    <col min="13315" max="13315" width="17.140625" style="1" customWidth="1"/>
    <col min="13316" max="13316" width="0" style="1" hidden="1" customWidth="1"/>
    <col min="13317" max="13317" width="8.85546875" style="1"/>
    <col min="13318" max="13318" width="11" style="1" customWidth="1"/>
    <col min="13319" max="13319" width="22" style="1" customWidth="1"/>
    <col min="13320" max="13562" width="8.85546875" style="1"/>
    <col min="13563" max="13563" width="7.42578125" style="1" customWidth="1"/>
    <col min="13564" max="13564" width="46.28515625" style="1" customWidth="1"/>
    <col min="13565" max="13565" width="16" style="1" customWidth="1"/>
    <col min="13566" max="13566" width="11.85546875" style="1" customWidth="1"/>
    <col min="13567" max="13568" width="0" style="1" hidden="1" customWidth="1"/>
    <col min="13569" max="13569" width="19.42578125" style="1" customWidth="1"/>
    <col min="13570" max="13570" width="16.85546875" style="1" customWidth="1"/>
    <col min="13571" max="13571" width="17.140625" style="1" customWidth="1"/>
    <col min="13572" max="13572" width="0" style="1" hidden="1" customWidth="1"/>
    <col min="13573" max="13573" width="8.85546875" style="1"/>
    <col min="13574" max="13574" width="11" style="1" customWidth="1"/>
    <col min="13575" max="13575" width="22" style="1" customWidth="1"/>
    <col min="13576" max="13818" width="8.85546875" style="1"/>
    <col min="13819" max="13819" width="7.42578125" style="1" customWidth="1"/>
    <col min="13820" max="13820" width="46.28515625" style="1" customWidth="1"/>
    <col min="13821" max="13821" width="16" style="1" customWidth="1"/>
    <col min="13822" max="13822" width="11.85546875" style="1" customWidth="1"/>
    <col min="13823" max="13824" width="0" style="1" hidden="1" customWidth="1"/>
    <col min="13825" max="13825" width="19.42578125" style="1" customWidth="1"/>
    <col min="13826" max="13826" width="16.85546875" style="1" customWidth="1"/>
    <col min="13827" max="13827" width="17.140625" style="1" customWidth="1"/>
    <col min="13828" max="13828" width="0" style="1" hidden="1" customWidth="1"/>
    <col min="13829" max="13829" width="8.85546875" style="1"/>
    <col min="13830" max="13830" width="11" style="1" customWidth="1"/>
    <col min="13831" max="13831" width="22" style="1" customWidth="1"/>
    <col min="13832" max="14074" width="8.85546875" style="1"/>
    <col min="14075" max="14075" width="7.42578125" style="1" customWidth="1"/>
    <col min="14076" max="14076" width="46.28515625" style="1" customWidth="1"/>
    <col min="14077" max="14077" width="16" style="1" customWidth="1"/>
    <col min="14078" max="14078" width="11.85546875" style="1" customWidth="1"/>
    <col min="14079" max="14080" width="0" style="1" hidden="1" customWidth="1"/>
    <col min="14081" max="14081" width="19.42578125" style="1" customWidth="1"/>
    <col min="14082" max="14082" width="16.85546875" style="1" customWidth="1"/>
    <col min="14083" max="14083" width="17.140625" style="1" customWidth="1"/>
    <col min="14084" max="14084" width="0" style="1" hidden="1" customWidth="1"/>
    <col min="14085" max="14085" width="8.85546875" style="1"/>
    <col min="14086" max="14086" width="11" style="1" customWidth="1"/>
    <col min="14087" max="14087" width="22" style="1" customWidth="1"/>
    <col min="14088" max="14330" width="8.85546875" style="1"/>
    <col min="14331" max="14331" width="7.42578125" style="1" customWidth="1"/>
    <col min="14332" max="14332" width="46.28515625" style="1" customWidth="1"/>
    <col min="14333" max="14333" width="16" style="1" customWidth="1"/>
    <col min="14334" max="14334" width="11.85546875" style="1" customWidth="1"/>
    <col min="14335" max="14336" width="0" style="1" hidden="1" customWidth="1"/>
    <col min="14337" max="14337" width="19.42578125" style="1" customWidth="1"/>
    <col min="14338" max="14338" width="16.85546875" style="1" customWidth="1"/>
    <col min="14339" max="14339" width="17.140625" style="1" customWidth="1"/>
    <col min="14340" max="14340" width="0" style="1" hidden="1" customWidth="1"/>
    <col min="14341" max="14341" width="8.85546875" style="1"/>
    <col min="14342" max="14342" width="11" style="1" customWidth="1"/>
    <col min="14343" max="14343" width="22" style="1" customWidth="1"/>
    <col min="14344" max="14586" width="8.85546875" style="1"/>
    <col min="14587" max="14587" width="7.42578125" style="1" customWidth="1"/>
    <col min="14588" max="14588" width="46.28515625" style="1" customWidth="1"/>
    <col min="14589" max="14589" width="16" style="1" customWidth="1"/>
    <col min="14590" max="14590" width="11.85546875" style="1" customWidth="1"/>
    <col min="14591" max="14592" width="0" style="1" hidden="1" customWidth="1"/>
    <col min="14593" max="14593" width="19.42578125" style="1" customWidth="1"/>
    <col min="14594" max="14594" width="16.85546875" style="1" customWidth="1"/>
    <col min="14595" max="14595" width="17.140625" style="1" customWidth="1"/>
    <col min="14596" max="14596" width="0" style="1" hidden="1" customWidth="1"/>
    <col min="14597" max="14597" width="8.85546875" style="1"/>
    <col min="14598" max="14598" width="11" style="1" customWidth="1"/>
    <col min="14599" max="14599" width="22" style="1" customWidth="1"/>
    <col min="14600" max="14842" width="8.85546875" style="1"/>
    <col min="14843" max="14843" width="7.42578125" style="1" customWidth="1"/>
    <col min="14844" max="14844" width="46.28515625" style="1" customWidth="1"/>
    <col min="14845" max="14845" width="16" style="1" customWidth="1"/>
    <col min="14846" max="14846" width="11.85546875" style="1" customWidth="1"/>
    <col min="14847" max="14848" width="0" style="1" hidden="1" customWidth="1"/>
    <col min="14849" max="14849" width="19.42578125" style="1" customWidth="1"/>
    <col min="14850" max="14850" width="16.85546875" style="1" customWidth="1"/>
    <col min="14851" max="14851" width="17.140625" style="1" customWidth="1"/>
    <col min="14852" max="14852" width="0" style="1" hidden="1" customWidth="1"/>
    <col min="14853" max="14853" width="8.85546875" style="1"/>
    <col min="14854" max="14854" width="11" style="1" customWidth="1"/>
    <col min="14855" max="14855" width="22" style="1" customWidth="1"/>
    <col min="14856" max="15098" width="8.85546875" style="1"/>
    <col min="15099" max="15099" width="7.42578125" style="1" customWidth="1"/>
    <col min="15100" max="15100" width="46.28515625" style="1" customWidth="1"/>
    <col min="15101" max="15101" width="16" style="1" customWidth="1"/>
    <col min="15102" max="15102" width="11.85546875" style="1" customWidth="1"/>
    <col min="15103" max="15104" width="0" style="1" hidden="1" customWidth="1"/>
    <col min="15105" max="15105" width="19.42578125" style="1" customWidth="1"/>
    <col min="15106" max="15106" width="16.85546875" style="1" customWidth="1"/>
    <col min="15107" max="15107" width="17.140625" style="1" customWidth="1"/>
    <col min="15108" max="15108" width="0" style="1" hidden="1" customWidth="1"/>
    <col min="15109" max="15109" width="8.85546875" style="1"/>
    <col min="15110" max="15110" width="11" style="1" customWidth="1"/>
    <col min="15111" max="15111" width="22" style="1" customWidth="1"/>
    <col min="15112" max="15354" width="8.85546875" style="1"/>
    <col min="15355" max="15355" width="7.42578125" style="1" customWidth="1"/>
    <col min="15356" max="15356" width="46.28515625" style="1" customWidth="1"/>
    <col min="15357" max="15357" width="16" style="1" customWidth="1"/>
    <col min="15358" max="15358" width="11.85546875" style="1" customWidth="1"/>
    <col min="15359" max="15360" width="0" style="1" hidden="1" customWidth="1"/>
    <col min="15361" max="15361" width="19.42578125" style="1" customWidth="1"/>
    <col min="15362" max="15362" width="16.85546875" style="1" customWidth="1"/>
    <col min="15363" max="15363" width="17.140625" style="1" customWidth="1"/>
    <col min="15364" max="15364" width="0" style="1" hidden="1" customWidth="1"/>
    <col min="15365" max="15365" width="8.85546875" style="1"/>
    <col min="15366" max="15366" width="11" style="1" customWidth="1"/>
    <col min="15367" max="15367" width="22" style="1" customWidth="1"/>
    <col min="15368" max="15610" width="8.85546875" style="1"/>
    <col min="15611" max="15611" width="7.42578125" style="1" customWidth="1"/>
    <col min="15612" max="15612" width="46.28515625" style="1" customWidth="1"/>
    <col min="15613" max="15613" width="16" style="1" customWidth="1"/>
    <col min="15614" max="15614" width="11.85546875" style="1" customWidth="1"/>
    <col min="15615" max="15616" width="0" style="1" hidden="1" customWidth="1"/>
    <col min="15617" max="15617" width="19.42578125" style="1" customWidth="1"/>
    <col min="15618" max="15618" width="16.85546875" style="1" customWidth="1"/>
    <col min="15619" max="15619" width="17.140625" style="1" customWidth="1"/>
    <col min="15620" max="15620" width="0" style="1" hidden="1" customWidth="1"/>
    <col min="15621" max="15621" width="8.85546875" style="1"/>
    <col min="15622" max="15622" width="11" style="1" customWidth="1"/>
    <col min="15623" max="15623" width="22" style="1" customWidth="1"/>
    <col min="15624" max="15866" width="8.85546875" style="1"/>
    <col min="15867" max="15867" width="7.42578125" style="1" customWidth="1"/>
    <col min="15868" max="15868" width="46.28515625" style="1" customWidth="1"/>
    <col min="15869" max="15869" width="16" style="1" customWidth="1"/>
    <col min="15870" max="15870" width="11.85546875" style="1" customWidth="1"/>
    <col min="15871" max="15872" width="0" style="1" hidden="1" customWidth="1"/>
    <col min="15873" max="15873" width="19.42578125" style="1" customWidth="1"/>
    <col min="15874" max="15874" width="16.85546875" style="1" customWidth="1"/>
    <col min="15875" max="15875" width="17.140625" style="1" customWidth="1"/>
    <col min="15876" max="15876" width="0" style="1" hidden="1" customWidth="1"/>
    <col min="15877" max="15877" width="8.85546875" style="1"/>
    <col min="15878" max="15878" width="11" style="1" customWidth="1"/>
    <col min="15879" max="15879" width="22" style="1" customWidth="1"/>
    <col min="15880" max="16122" width="8.85546875" style="1"/>
    <col min="16123" max="16123" width="7.42578125" style="1" customWidth="1"/>
    <col min="16124" max="16124" width="46.28515625" style="1" customWidth="1"/>
    <col min="16125" max="16125" width="16" style="1" customWidth="1"/>
    <col min="16126" max="16126" width="11.85546875" style="1" customWidth="1"/>
    <col min="16127" max="16128" width="0" style="1" hidden="1" customWidth="1"/>
    <col min="16129" max="16129" width="19.42578125" style="1" customWidth="1"/>
    <col min="16130" max="16130" width="16.85546875" style="1" customWidth="1"/>
    <col min="16131" max="16131" width="17.140625" style="1" customWidth="1"/>
    <col min="16132" max="16132" width="0" style="1" hidden="1" customWidth="1"/>
    <col min="16133" max="16133" width="8.85546875" style="1"/>
    <col min="16134" max="16134" width="11" style="1" customWidth="1"/>
    <col min="16135" max="16135" width="22" style="1" customWidth="1"/>
    <col min="16136" max="16384" width="8.85546875" style="1"/>
  </cols>
  <sheetData>
    <row r="1" spans="1:5" ht="18" customHeight="1" x14ac:dyDescent="0.25">
      <c r="B1" s="3"/>
      <c r="C1" s="142" t="s">
        <v>3064</v>
      </c>
      <c r="D1" s="142"/>
      <c r="E1" s="142"/>
    </row>
    <row r="2" spans="1:5" ht="18.75" customHeight="1" x14ac:dyDescent="0.25">
      <c r="B2" s="142" t="s">
        <v>0</v>
      </c>
      <c r="C2" s="142"/>
      <c r="D2" s="142"/>
      <c r="E2" s="142"/>
    </row>
    <row r="3" spans="1:5" ht="43.5" customHeight="1" x14ac:dyDescent="0.25">
      <c r="B3" s="150" t="s">
        <v>3169</v>
      </c>
      <c r="C3" s="150"/>
      <c r="D3" s="150"/>
      <c r="E3" s="150"/>
    </row>
    <row r="4" spans="1:5" ht="15.75" customHeight="1" x14ac:dyDescent="0.25">
      <c r="B4" s="142" t="s">
        <v>3078</v>
      </c>
      <c r="C4" s="142"/>
      <c r="D4" s="142"/>
      <c r="E4" s="142"/>
    </row>
    <row r="5" spans="1:5" ht="21" customHeight="1" x14ac:dyDescent="0.25">
      <c r="B5" s="3"/>
      <c r="C5" s="142" t="s">
        <v>1</v>
      </c>
      <c r="D5" s="142"/>
      <c r="E5" s="142"/>
    </row>
    <row r="6" spans="1:5" ht="20.25" customHeight="1" x14ac:dyDescent="0.25">
      <c r="B6" s="3"/>
      <c r="C6" s="142" t="s">
        <v>2</v>
      </c>
      <c r="D6" s="142"/>
      <c r="E6" s="142"/>
    </row>
    <row r="7" spans="1:5" ht="14.25" customHeight="1" x14ac:dyDescent="0.25">
      <c r="B7" s="3"/>
      <c r="C7" s="3"/>
      <c r="D7" s="3"/>
      <c r="E7" s="3"/>
    </row>
    <row r="8" spans="1:5" ht="20.25" customHeight="1" x14ac:dyDescent="0.25">
      <c r="B8" s="142" t="s">
        <v>3</v>
      </c>
      <c r="C8" s="142"/>
      <c r="D8" s="142"/>
      <c r="E8" s="142"/>
    </row>
    <row r="9" spans="1:5" ht="13.5" customHeight="1" x14ac:dyDescent="0.25">
      <c r="B9" s="3"/>
      <c r="C9" s="3"/>
      <c r="D9" s="3"/>
      <c r="E9" s="3"/>
    </row>
    <row r="10" spans="1:5" ht="20.25" customHeight="1" x14ac:dyDescent="0.25">
      <c r="B10" s="3"/>
      <c r="C10" s="142" t="s">
        <v>4</v>
      </c>
      <c r="D10" s="142"/>
      <c r="E10" s="142"/>
    </row>
    <row r="11" spans="1:5" ht="20.25" customHeight="1" x14ac:dyDescent="0.25">
      <c r="B11" s="3"/>
      <c r="C11" s="150" t="s">
        <v>5</v>
      </c>
      <c r="D11" s="150"/>
      <c r="E11" s="150"/>
    </row>
    <row r="12" spans="1:5" ht="20.25" customHeight="1" x14ac:dyDescent="0.25">
      <c r="B12" s="150" t="s">
        <v>6</v>
      </c>
      <c r="C12" s="150"/>
      <c r="D12" s="150"/>
      <c r="E12" s="150"/>
    </row>
    <row r="13" spans="1:5" ht="14.25" customHeight="1" x14ac:dyDescent="0.25">
      <c r="B13" s="3"/>
      <c r="C13" s="3"/>
      <c r="D13" s="3"/>
      <c r="E13" s="3"/>
    </row>
    <row r="14" spans="1:5" ht="18.75" customHeight="1" x14ac:dyDescent="0.25">
      <c r="B14" s="3"/>
      <c r="C14" s="142" t="s">
        <v>7</v>
      </c>
      <c r="D14" s="142"/>
      <c r="E14" s="142"/>
    </row>
    <row r="15" spans="1:5" ht="15.75" customHeight="1" x14ac:dyDescent="0.25">
      <c r="B15" s="3"/>
      <c r="C15" s="3"/>
      <c r="D15" s="3"/>
      <c r="E15" s="3"/>
    </row>
    <row r="16" spans="1:5" ht="19.5" customHeight="1" x14ac:dyDescent="0.25">
      <c r="A16" s="126" t="s">
        <v>8</v>
      </c>
      <c r="B16" s="126"/>
      <c r="C16" s="126"/>
      <c r="D16" s="126"/>
      <c r="E16" s="126"/>
    </row>
    <row r="17" spans="1:7" ht="24" customHeight="1" x14ac:dyDescent="0.25">
      <c r="A17" s="143" t="s">
        <v>3076</v>
      </c>
      <c r="B17" s="143"/>
      <c r="C17" s="143"/>
      <c r="D17" s="143"/>
      <c r="E17" s="143"/>
    </row>
    <row r="18" spans="1:7" s="5" customFormat="1" ht="32.25" customHeight="1" x14ac:dyDescent="0.25">
      <c r="A18" s="157" t="s">
        <v>9</v>
      </c>
      <c r="B18" s="157" t="s">
        <v>10</v>
      </c>
      <c r="C18" s="157" t="s">
        <v>11</v>
      </c>
      <c r="D18" s="158" t="s">
        <v>12</v>
      </c>
      <c r="E18" s="122"/>
    </row>
    <row r="19" spans="1:7" s="5" customFormat="1" ht="155.25" customHeight="1" x14ac:dyDescent="0.25">
      <c r="A19" s="157"/>
      <c r="B19" s="157"/>
      <c r="C19" s="157"/>
      <c r="D19" s="158"/>
      <c r="E19" s="123" t="s">
        <v>3079</v>
      </c>
    </row>
    <row r="20" spans="1:7" s="5" customFormat="1" ht="16.5" customHeight="1" x14ac:dyDescent="0.25">
      <c r="A20" s="139" t="s">
        <v>13</v>
      </c>
      <c r="B20" s="140"/>
      <c r="C20" s="140"/>
      <c r="D20" s="140"/>
      <c r="E20" s="141"/>
    </row>
    <row r="21" spans="1:7" s="5" customFormat="1" ht="18.75" customHeight="1" x14ac:dyDescent="0.25">
      <c r="A21" s="28">
        <v>1</v>
      </c>
      <c r="B21" s="29" t="s">
        <v>16</v>
      </c>
      <c r="C21" s="29" t="s">
        <v>17</v>
      </c>
      <c r="D21" s="28" t="s">
        <v>15</v>
      </c>
      <c r="E21" s="28">
        <v>15480</v>
      </c>
      <c r="G21" s="17"/>
    </row>
    <row r="22" spans="1:7" s="5" customFormat="1" ht="18.75" customHeight="1" x14ac:dyDescent="0.25">
      <c r="A22" s="28">
        <f t="shared" ref="A22:A85" si="0">A21+1</f>
        <v>2</v>
      </c>
      <c r="B22" s="29" t="s">
        <v>18</v>
      </c>
      <c r="C22" s="29" t="s">
        <v>19</v>
      </c>
      <c r="D22" s="28" t="s">
        <v>15</v>
      </c>
      <c r="E22" s="28">
        <v>19320</v>
      </c>
      <c r="G22" s="17"/>
    </row>
    <row r="23" spans="1:7" s="5" customFormat="1" ht="17.25" customHeight="1" x14ac:dyDescent="0.25">
      <c r="A23" s="28">
        <f t="shared" si="0"/>
        <v>3</v>
      </c>
      <c r="B23" s="29" t="s">
        <v>20</v>
      </c>
      <c r="C23" s="29" t="s">
        <v>21</v>
      </c>
      <c r="D23" s="28" t="s">
        <v>15</v>
      </c>
      <c r="E23" s="28">
        <v>12840</v>
      </c>
      <c r="G23" s="17"/>
    </row>
    <row r="24" spans="1:7" s="5" customFormat="1" ht="17.25" customHeight="1" x14ac:dyDescent="0.25">
      <c r="A24" s="28">
        <f t="shared" si="0"/>
        <v>4</v>
      </c>
      <c r="B24" s="29" t="s">
        <v>22</v>
      </c>
      <c r="C24" s="29" t="s">
        <v>23</v>
      </c>
      <c r="D24" s="28" t="s">
        <v>15</v>
      </c>
      <c r="E24" s="28">
        <v>15480</v>
      </c>
      <c r="G24" s="17"/>
    </row>
    <row r="25" spans="1:7" s="5" customFormat="1" ht="17.25" customHeight="1" x14ac:dyDescent="0.25">
      <c r="A25" s="28">
        <f t="shared" si="0"/>
        <v>5</v>
      </c>
      <c r="B25" s="29" t="s">
        <v>24</v>
      </c>
      <c r="C25" s="29" t="s">
        <v>25</v>
      </c>
      <c r="D25" s="28" t="s">
        <v>15</v>
      </c>
      <c r="E25" s="28">
        <v>19320</v>
      </c>
      <c r="G25" s="17"/>
    </row>
    <row r="26" spans="1:7" s="5" customFormat="1" ht="17.25" customHeight="1" x14ac:dyDescent="0.25">
      <c r="A26" s="28">
        <f t="shared" si="0"/>
        <v>6</v>
      </c>
      <c r="B26" s="29" t="s">
        <v>26</v>
      </c>
      <c r="C26" s="29" t="s">
        <v>14</v>
      </c>
      <c r="D26" s="28" t="s">
        <v>15</v>
      </c>
      <c r="E26" s="28">
        <v>12840</v>
      </c>
      <c r="G26" s="17"/>
    </row>
    <row r="27" spans="1:7" s="5" customFormat="1" ht="17.25" customHeight="1" x14ac:dyDescent="0.25">
      <c r="A27" s="28">
        <f t="shared" si="0"/>
        <v>7</v>
      </c>
      <c r="B27" s="29" t="s">
        <v>27</v>
      </c>
      <c r="C27" s="29" t="s">
        <v>17</v>
      </c>
      <c r="D27" s="28" t="s">
        <v>15</v>
      </c>
      <c r="E27" s="28">
        <v>15480</v>
      </c>
      <c r="G27" s="17"/>
    </row>
    <row r="28" spans="1:7" s="5" customFormat="1" ht="16.5" customHeight="1" x14ac:dyDescent="0.25">
      <c r="A28" s="28">
        <f t="shared" si="0"/>
        <v>8</v>
      </c>
      <c r="B28" s="29" t="s">
        <v>28</v>
      </c>
      <c r="C28" s="29" t="s">
        <v>19</v>
      </c>
      <c r="D28" s="28" t="s">
        <v>15</v>
      </c>
      <c r="E28" s="28">
        <v>19320</v>
      </c>
      <c r="G28" s="17"/>
    </row>
    <row r="29" spans="1:7" s="5" customFormat="1" ht="17.25" customHeight="1" x14ac:dyDescent="0.25">
      <c r="A29" s="28">
        <f t="shared" si="0"/>
        <v>9</v>
      </c>
      <c r="B29" s="29" t="s">
        <v>29</v>
      </c>
      <c r="C29" s="29" t="s">
        <v>30</v>
      </c>
      <c r="D29" s="28" t="s">
        <v>15</v>
      </c>
      <c r="E29" s="28">
        <v>12840</v>
      </c>
      <c r="G29" s="17"/>
    </row>
    <row r="30" spans="1:7" s="5" customFormat="1" ht="17.25" customHeight="1" x14ac:dyDescent="0.25">
      <c r="A30" s="28">
        <f t="shared" si="0"/>
        <v>10</v>
      </c>
      <c r="B30" s="29" t="s">
        <v>31</v>
      </c>
      <c r="C30" s="29" t="s">
        <v>32</v>
      </c>
      <c r="D30" s="28" t="s">
        <v>15</v>
      </c>
      <c r="E30" s="28">
        <v>15480</v>
      </c>
      <c r="G30" s="17"/>
    </row>
    <row r="31" spans="1:7" s="5" customFormat="1" ht="17.25" customHeight="1" x14ac:dyDescent="0.25">
      <c r="A31" s="28">
        <f t="shared" si="0"/>
        <v>11</v>
      </c>
      <c r="B31" s="29" t="s">
        <v>33</v>
      </c>
      <c r="C31" s="29" t="s">
        <v>34</v>
      </c>
      <c r="D31" s="28" t="s">
        <v>15</v>
      </c>
      <c r="E31" s="28">
        <v>19320</v>
      </c>
      <c r="G31" s="17"/>
    </row>
    <row r="32" spans="1:7" s="5" customFormat="1" ht="18.75" x14ac:dyDescent="0.25">
      <c r="A32" s="28">
        <f t="shared" si="0"/>
        <v>12</v>
      </c>
      <c r="B32" s="29" t="s">
        <v>35</v>
      </c>
      <c r="C32" s="29" t="s">
        <v>36</v>
      </c>
      <c r="D32" s="28" t="s">
        <v>15</v>
      </c>
      <c r="E32" s="28">
        <v>12840</v>
      </c>
      <c r="G32" s="17"/>
    </row>
    <row r="33" spans="1:7" s="5" customFormat="1" ht="18.75" x14ac:dyDescent="0.25">
      <c r="A33" s="28">
        <f t="shared" si="0"/>
        <v>13</v>
      </c>
      <c r="B33" s="29" t="s">
        <v>37</v>
      </c>
      <c r="C33" s="29" t="s">
        <v>38</v>
      </c>
      <c r="D33" s="28" t="s">
        <v>15</v>
      </c>
      <c r="E33" s="28">
        <v>15480</v>
      </c>
      <c r="G33" s="17"/>
    </row>
    <row r="34" spans="1:7" s="5" customFormat="1" ht="18.75" x14ac:dyDescent="0.25">
      <c r="A34" s="28">
        <f t="shared" si="0"/>
        <v>14</v>
      </c>
      <c r="B34" s="29" t="s">
        <v>39</v>
      </c>
      <c r="C34" s="29" t="s">
        <v>40</v>
      </c>
      <c r="D34" s="28" t="s">
        <v>15</v>
      </c>
      <c r="E34" s="28">
        <v>19320</v>
      </c>
      <c r="G34" s="17"/>
    </row>
    <row r="35" spans="1:7" s="5" customFormat="1" ht="18.75" x14ac:dyDescent="0.25">
      <c r="A35" s="28">
        <f t="shared" si="0"/>
        <v>15</v>
      </c>
      <c r="B35" s="29" t="s">
        <v>41</v>
      </c>
      <c r="C35" s="29" t="s">
        <v>42</v>
      </c>
      <c r="D35" s="28" t="s">
        <v>15</v>
      </c>
      <c r="E35" s="28">
        <v>12840</v>
      </c>
      <c r="G35" s="17"/>
    </row>
    <row r="36" spans="1:7" s="5" customFormat="1" ht="16.5" customHeight="1" x14ac:dyDescent="0.25">
      <c r="A36" s="28">
        <f t="shared" si="0"/>
        <v>16</v>
      </c>
      <c r="B36" s="29" t="s">
        <v>43</v>
      </c>
      <c r="C36" s="29" t="s">
        <v>44</v>
      </c>
      <c r="D36" s="28" t="s">
        <v>15</v>
      </c>
      <c r="E36" s="28">
        <v>15480</v>
      </c>
      <c r="G36" s="17"/>
    </row>
    <row r="37" spans="1:7" s="5" customFormat="1" ht="16.5" customHeight="1" x14ac:dyDescent="0.25">
      <c r="A37" s="28">
        <f t="shared" si="0"/>
        <v>17</v>
      </c>
      <c r="B37" s="29" t="s">
        <v>45</v>
      </c>
      <c r="C37" s="29" t="s">
        <v>46</v>
      </c>
      <c r="D37" s="28" t="s">
        <v>15</v>
      </c>
      <c r="E37" s="28">
        <v>19320</v>
      </c>
      <c r="G37" s="17"/>
    </row>
    <row r="38" spans="1:7" s="5" customFormat="1" ht="16.5" customHeight="1" x14ac:dyDescent="0.25">
      <c r="A38" s="28">
        <f t="shared" si="0"/>
        <v>18</v>
      </c>
      <c r="B38" s="29" t="s">
        <v>47</v>
      </c>
      <c r="C38" s="29" t="s">
        <v>48</v>
      </c>
      <c r="D38" s="28" t="s">
        <v>15</v>
      </c>
      <c r="E38" s="28">
        <v>12840</v>
      </c>
      <c r="G38" s="17"/>
    </row>
    <row r="39" spans="1:7" s="5" customFormat="1" ht="16.5" customHeight="1" x14ac:dyDescent="0.25">
      <c r="A39" s="28">
        <f t="shared" si="0"/>
        <v>19</v>
      </c>
      <c r="B39" s="29" t="s">
        <v>49</v>
      </c>
      <c r="C39" s="29" t="s">
        <v>50</v>
      </c>
      <c r="D39" s="28" t="s">
        <v>15</v>
      </c>
      <c r="E39" s="28">
        <v>15480</v>
      </c>
      <c r="G39" s="17"/>
    </row>
    <row r="40" spans="1:7" s="5" customFormat="1" ht="15.75" customHeight="1" x14ac:dyDescent="0.25">
      <c r="A40" s="28">
        <f t="shared" si="0"/>
        <v>20</v>
      </c>
      <c r="B40" s="29" t="s">
        <v>51</v>
      </c>
      <c r="C40" s="29" t="s">
        <v>52</v>
      </c>
      <c r="D40" s="28" t="s">
        <v>15</v>
      </c>
      <c r="E40" s="28">
        <v>19320</v>
      </c>
      <c r="G40" s="17"/>
    </row>
    <row r="41" spans="1:7" s="5" customFormat="1" ht="15.75" customHeight="1" x14ac:dyDescent="0.25">
      <c r="A41" s="28">
        <f t="shared" si="0"/>
        <v>21</v>
      </c>
      <c r="B41" s="29" t="s">
        <v>53</v>
      </c>
      <c r="C41" s="29" t="s">
        <v>54</v>
      </c>
      <c r="D41" s="28" t="s">
        <v>15</v>
      </c>
      <c r="E41" s="28">
        <v>12840</v>
      </c>
      <c r="G41" s="17"/>
    </row>
    <row r="42" spans="1:7" s="5" customFormat="1" ht="15.75" customHeight="1" x14ac:dyDescent="0.25">
      <c r="A42" s="28">
        <f t="shared" si="0"/>
        <v>22</v>
      </c>
      <c r="B42" s="29" t="s">
        <v>55</v>
      </c>
      <c r="C42" s="29" t="s">
        <v>56</v>
      </c>
      <c r="D42" s="28" t="s">
        <v>15</v>
      </c>
      <c r="E42" s="28">
        <v>15480</v>
      </c>
      <c r="G42" s="17"/>
    </row>
    <row r="43" spans="1:7" s="5" customFormat="1" ht="15.75" customHeight="1" x14ac:dyDescent="0.25">
      <c r="A43" s="28">
        <f t="shared" si="0"/>
        <v>23</v>
      </c>
      <c r="B43" s="29" t="s">
        <v>57</v>
      </c>
      <c r="C43" s="29" t="s">
        <v>58</v>
      </c>
      <c r="D43" s="28" t="s">
        <v>15</v>
      </c>
      <c r="E43" s="28">
        <v>19320</v>
      </c>
      <c r="G43" s="17"/>
    </row>
    <row r="44" spans="1:7" s="5" customFormat="1" ht="15.75" customHeight="1" x14ac:dyDescent="0.25">
      <c r="A44" s="28">
        <f t="shared" si="0"/>
        <v>24</v>
      </c>
      <c r="B44" s="29" t="s">
        <v>59</v>
      </c>
      <c r="C44" s="29" t="s">
        <v>60</v>
      </c>
      <c r="D44" s="28" t="s">
        <v>15</v>
      </c>
      <c r="E44" s="28">
        <v>12840</v>
      </c>
      <c r="G44" s="17"/>
    </row>
    <row r="45" spans="1:7" s="5" customFormat="1" ht="15.75" customHeight="1" x14ac:dyDescent="0.25">
      <c r="A45" s="28">
        <f t="shared" si="0"/>
        <v>25</v>
      </c>
      <c r="B45" s="29" t="s">
        <v>61</v>
      </c>
      <c r="C45" s="29" t="s">
        <v>62</v>
      </c>
      <c r="D45" s="28" t="s">
        <v>15</v>
      </c>
      <c r="E45" s="28">
        <v>15480</v>
      </c>
      <c r="G45" s="17"/>
    </row>
    <row r="46" spans="1:7" s="5" customFormat="1" ht="15.75" customHeight="1" x14ac:dyDescent="0.25">
      <c r="A46" s="28">
        <f t="shared" si="0"/>
        <v>26</v>
      </c>
      <c r="B46" s="29" t="s">
        <v>63</v>
      </c>
      <c r="C46" s="29" t="s">
        <v>64</v>
      </c>
      <c r="D46" s="28" t="s">
        <v>15</v>
      </c>
      <c r="E46" s="28">
        <v>19320</v>
      </c>
      <c r="G46" s="17"/>
    </row>
    <row r="47" spans="1:7" s="5" customFormat="1" ht="18.75" x14ac:dyDescent="0.25">
      <c r="A47" s="28">
        <f t="shared" si="0"/>
        <v>27</v>
      </c>
      <c r="B47" s="29" t="s">
        <v>65</v>
      </c>
      <c r="C47" s="29" t="s">
        <v>66</v>
      </c>
      <c r="D47" s="28" t="s">
        <v>15</v>
      </c>
      <c r="E47" s="28">
        <v>12840</v>
      </c>
      <c r="G47" s="17"/>
    </row>
    <row r="48" spans="1:7" s="5" customFormat="1" ht="18.75" x14ac:dyDescent="0.25">
      <c r="A48" s="28">
        <f t="shared" si="0"/>
        <v>28</v>
      </c>
      <c r="B48" s="29" t="s">
        <v>67</v>
      </c>
      <c r="C48" s="29" t="s">
        <v>68</v>
      </c>
      <c r="D48" s="28" t="s">
        <v>15</v>
      </c>
      <c r="E48" s="28">
        <v>15480</v>
      </c>
      <c r="G48" s="17"/>
    </row>
    <row r="49" spans="1:7" s="5" customFormat="1" ht="18.75" x14ac:dyDescent="0.25">
      <c r="A49" s="28">
        <f t="shared" si="0"/>
        <v>29</v>
      </c>
      <c r="B49" s="29" t="s">
        <v>69</v>
      </c>
      <c r="C49" s="29" t="s">
        <v>70</v>
      </c>
      <c r="D49" s="28" t="s">
        <v>15</v>
      </c>
      <c r="E49" s="28">
        <v>19320</v>
      </c>
      <c r="G49" s="17"/>
    </row>
    <row r="50" spans="1:7" s="5" customFormat="1" ht="18.75" customHeight="1" x14ac:dyDescent="0.25">
      <c r="A50" s="28">
        <f t="shared" si="0"/>
        <v>30</v>
      </c>
      <c r="B50" s="29" t="s">
        <v>71</v>
      </c>
      <c r="C50" s="29" t="s">
        <v>72</v>
      </c>
      <c r="D50" s="28" t="s">
        <v>15</v>
      </c>
      <c r="E50" s="28">
        <v>12840</v>
      </c>
      <c r="G50" s="17"/>
    </row>
    <row r="51" spans="1:7" s="5" customFormat="1" ht="18.75" x14ac:dyDescent="0.25">
      <c r="A51" s="28">
        <f t="shared" si="0"/>
        <v>31</v>
      </c>
      <c r="B51" s="29" t="s">
        <v>73</v>
      </c>
      <c r="C51" s="29" t="s">
        <v>74</v>
      </c>
      <c r="D51" s="28" t="s">
        <v>15</v>
      </c>
      <c r="E51" s="28">
        <v>15480</v>
      </c>
      <c r="G51" s="17"/>
    </row>
    <row r="52" spans="1:7" s="5" customFormat="1" ht="18.75" x14ac:dyDescent="0.25">
      <c r="A52" s="28">
        <f t="shared" si="0"/>
        <v>32</v>
      </c>
      <c r="B52" s="29" t="s">
        <v>75</v>
      </c>
      <c r="C52" s="29" t="s">
        <v>76</v>
      </c>
      <c r="D52" s="28" t="s">
        <v>15</v>
      </c>
      <c r="E52" s="28">
        <v>19320</v>
      </c>
      <c r="G52" s="17"/>
    </row>
    <row r="53" spans="1:7" s="5" customFormat="1" ht="18.75" x14ac:dyDescent="0.25">
      <c r="A53" s="28">
        <f t="shared" si="0"/>
        <v>33</v>
      </c>
      <c r="B53" s="29" t="s">
        <v>77</v>
      </c>
      <c r="C53" s="29" t="s">
        <v>78</v>
      </c>
      <c r="D53" s="28" t="s">
        <v>15</v>
      </c>
      <c r="E53" s="28">
        <v>12840</v>
      </c>
      <c r="G53" s="17"/>
    </row>
    <row r="54" spans="1:7" s="5" customFormat="1" ht="18.75" x14ac:dyDescent="0.25">
      <c r="A54" s="28">
        <f t="shared" si="0"/>
        <v>34</v>
      </c>
      <c r="B54" s="29" t="s">
        <v>79</v>
      </c>
      <c r="C54" s="29" t="s">
        <v>80</v>
      </c>
      <c r="D54" s="28" t="s">
        <v>15</v>
      </c>
      <c r="E54" s="28">
        <v>15480</v>
      </c>
      <c r="G54" s="17"/>
    </row>
    <row r="55" spans="1:7" s="5" customFormat="1" ht="18.75" x14ac:dyDescent="0.25">
      <c r="A55" s="28">
        <f t="shared" si="0"/>
        <v>35</v>
      </c>
      <c r="B55" s="29" t="s">
        <v>81</v>
      </c>
      <c r="C55" s="29" t="s">
        <v>82</v>
      </c>
      <c r="D55" s="28" t="s">
        <v>15</v>
      </c>
      <c r="E55" s="28">
        <v>19320</v>
      </c>
      <c r="G55" s="17"/>
    </row>
    <row r="56" spans="1:7" s="5" customFormat="1" ht="18.75" x14ac:dyDescent="0.25">
      <c r="A56" s="28">
        <f t="shared" si="0"/>
        <v>36</v>
      </c>
      <c r="B56" s="29" t="s">
        <v>83</v>
      </c>
      <c r="C56" s="29" t="s">
        <v>84</v>
      </c>
      <c r="D56" s="28" t="s">
        <v>15</v>
      </c>
      <c r="E56" s="28">
        <v>12840</v>
      </c>
      <c r="G56" s="17"/>
    </row>
    <row r="57" spans="1:7" s="5" customFormat="1" ht="18.75" x14ac:dyDescent="0.25">
      <c r="A57" s="28">
        <f t="shared" si="0"/>
        <v>37</v>
      </c>
      <c r="B57" s="29" t="s">
        <v>85</v>
      </c>
      <c r="C57" s="29" t="s">
        <v>86</v>
      </c>
      <c r="D57" s="28" t="s">
        <v>15</v>
      </c>
      <c r="E57" s="28">
        <v>15480</v>
      </c>
      <c r="G57" s="17"/>
    </row>
    <row r="58" spans="1:7" s="5" customFormat="1" ht="18.75" x14ac:dyDescent="0.25">
      <c r="A58" s="28">
        <f t="shared" si="0"/>
        <v>38</v>
      </c>
      <c r="B58" s="29" t="s">
        <v>87</v>
      </c>
      <c r="C58" s="29" t="s">
        <v>88</v>
      </c>
      <c r="D58" s="28" t="s">
        <v>15</v>
      </c>
      <c r="E58" s="28">
        <v>19320</v>
      </c>
      <c r="G58" s="17"/>
    </row>
    <row r="59" spans="1:7" s="5" customFormat="1" ht="18.75" x14ac:dyDescent="0.25">
      <c r="A59" s="28">
        <f t="shared" si="0"/>
        <v>39</v>
      </c>
      <c r="B59" s="29" t="s">
        <v>89</v>
      </c>
      <c r="C59" s="29" t="s">
        <v>90</v>
      </c>
      <c r="D59" s="28" t="s">
        <v>15</v>
      </c>
      <c r="E59" s="28">
        <v>12840</v>
      </c>
      <c r="G59" s="17"/>
    </row>
    <row r="60" spans="1:7" s="5" customFormat="1" ht="18.75" x14ac:dyDescent="0.25">
      <c r="A60" s="28">
        <f t="shared" si="0"/>
        <v>40</v>
      </c>
      <c r="B60" s="29" t="s">
        <v>91</v>
      </c>
      <c r="C60" s="29" t="s">
        <v>92</v>
      </c>
      <c r="D60" s="28" t="s">
        <v>15</v>
      </c>
      <c r="E60" s="28">
        <v>15480</v>
      </c>
      <c r="G60" s="17"/>
    </row>
    <row r="61" spans="1:7" s="5" customFormat="1" ht="18.75" x14ac:dyDescent="0.25">
      <c r="A61" s="28">
        <f t="shared" si="0"/>
        <v>41</v>
      </c>
      <c r="B61" s="29" t="s">
        <v>93</v>
      </c>
      <c r="C61" s="29" t="s">
        <v>94</v>
      </c>
      <c r="D61" s="28" t="s">
        <v>15</v>
      </c>
      <c r="E61" s="28">
        <v>19320</v>
      </c>
      <c r="G61" s="17"/>
    </row>
    <row r="62" spans="1:7" s="8" customFormat="1" ht="18.75" x14ac:dyDescent="0.25">
      <c r="A62" s="28">
        <f t="shared" si="0"/>
        <v>42</v>
      </c>
      <c r="B62" s="31" t="s">
        <v>95</v>
      </c>
      <c r="C62" s="31" t="s">
        <v>96</v>
      </c>
      <c r="D62" s="32" t="s">
        <v>15</v>
      </c>
      <c r="E62" s="28">
        <v>15480</v>
      </c>
      <c r="F62" s="5"/>
      <c r="G62" s="17"/>
    </row>
    <row r="63" spans="1:7" s="5" customFormat="1" ht="18.75" x14ac:dyDescent="0.25">
      <c r="A63" s="28">
        <f t="shared" si="0"/>
        <v>43</v>
      </c>
      <c r="B63" s="29" t="s">
        <v>97</v>
      </c>
      <c r="C63" s="29" t="s">
        <v>98</v>
      </c>
      <c r="D63" s="28" t="s">
        <v>15</v>
      </c>
      <c r="E63" s="28">
        <v>12840</v>
      </c>
      <c r="G63" s="17"/>
    </row>
    <row r="64" spans="1:7" s="5" customFormat="1" ht="18.75" x14ac:dyDescent="0.25">
      <c r="A64" s="28">
        <f t="shared" si="0"/>
        <v>44</v>
      </c>
      <c r="B64" s="29" t="s">
        <v>99</v>
      </c>
      <c r="C64" s="29" t="s">
        <v>100</v>
      </c>
      <c r="D64" s="28" t="s">
        <v>15</v>
      </c>
      <c r="E64" s="28">
        <v>15480</v>
      </c>
      <c r="G64" s="17"/>
    </row>
    <row r="65" spans="1:7" s="5" customFormat="1" ht="18.75" x14ac:dyDescent="0.25">
      <c r="A65" s="28">
        <f t="shared" si="0"/>
        <v>45</v>
      </c>
      <c r="B65" s="29" t="s">
        <v>101</v>
      </c>
      <c r="C65" s="29" t="s">
        <v>102</v>
      </c>
      <c r="D65" s="28" t="s">
        <v>15</v>
      </c>
      <c r="E65" s="28">
        <v>19320</v>
      </c>
      <c r="G65" s="17"/>
    </row>
    <row r="66" spans="1:7" s="5" customFormat="1" ht="18.75" x14ac:dyDescent="0.25">
      <c r="A66" s="28">
        <f t="shared" si="0"/>
        <v>46</v>
      </c>
      <c r="B66" s="29" t="s">
        <v>103</v>
      </c>
      <c r="C66" s="29" t="s">
        <v>104</v>
      </c>
      <c r="D66" s="28" t="s">
        <v>15</v>
      </c>
      <c r="E66" s="28">
        <v>12840</v>
      </c>
      <c r="G66" s="17"/>
    </row>
    <row r="67" spans="1:7" s="5" customFormat="1" ht="18.75" x14ac:dyDescent="0.25">
      <c r="A67" s="28">
        <f t="shared" si="0"/>
        <v>47</v>
      </c>
      <c r="B67" s="29" t="s">
        <v>105</v>
      </c>
      <c r="C67" s="29" t="s">
        <v>106</v>
      </c>
      <c r="D67" s="28" t="s">
        <v>15</v>
      </c>
      <c r="E67" s="28">
        <v>15480</v>
      </c>
      <c r="G67" s="17"/>
    </row>
    <row r="68" spans="1:7" s="5" customFormat="1" ht="18.75" x14ac:dyDescent="0.25">
      <c r="A68" s="28">
        <f t="shared" si="0"/>
        <v>48</v>
      </c>
      <c r="B68" s="29" t="s">
        <v>107</v>
      </c>
      <c r="C68" s="29" t="s">
        <v>108</v>
      </c>
      <c r="D68" s="28" t="s">
        <v>15</v>
      </c>
      <c r="E68" s="28">
        <v>19320</v>
      </c>
      <c r="G68" s="17"/>
    </row>
    <row r="69" spans="1:7" s="5" customFormat="1" ht="18.75" x14ac:dyDescent="0.25">
      <c r="A69" s="28">
        <f t="shared" si="0"/>
        <v>49</v>
      </c>
      <c r="B69" s="29" t="s">
        <v>109</v>
      </c>
      <c r="C69" s="29" t="s">
        <v>110</v>
      </c>
      <c r="D69" s="28" t="s">
        <v>15</v>
      </c>
      <c r="E69" s="28">
        <v>12840</v>
      </c>
      <c r="G69" s="17"/>
    </row>
    <row r="70" spans="1:7" s="5" customFormat="1" ht="18.75" x14ac:dyDescent="0.25">
      <c r="A70" s="28">
        <f t="shared" si="0"/>
        <v>50</v>
      </c>
      <c r="B70" s="29" t="s">
        <v>111</v>
      </c>
      <c r="C70" s="29" t="s">
        <v>112</v>
      </c>
      <c r="D70" s="28" t="s">
        <v>15</v>
      </c>
      <c r="E70" s="28">
        <v>15480</v>
      </c>
      <c r="G70" s="17"/>
    </row>
    <row r="71" spans="1:7" s="5" customFormat="1" ht="18.75" x14ac:dyDescent="0.25">
      <c r="A71" s="28">
        <f t="shared" si="0"/>
        <v>51</v>
      </c>
      <c r="B71" s="29" t="s">
        <v>113</v>
      </c>
      <c r="C71" s="29" t="s">
        <v>114</v>
      </c>
      <c r="D71" s="28" t="s">
        <v>15</v>
      </c>
      <c r="E71" s="28">
        <v>19320</v>
      </c>
      <c r="G71" s="17"/>
    </row>
    <row r="72" spans="1:7" s="5" customFormat="1" ht="18.75" x14ac:dyDescent="0.25">
      <c r="A72" s="28">
        <f t="shared" si="0"/>
        <v>52</v>
      </c>
      <c r="B72" s="29" t="s">
        <v>115</v>
      </c>
      <c r="C72" s="29" t="s">
        <v>116</v>
      </c>
      <c r="D72" s="28" t="s">
        <v>15</v>
      </c>
      <c r="E72" s="28">
        <v>12840</v>
      </c>
      <c r="G72" s="17"/>
    </row>
    <row r="73" spans="1:7" s="5" customFormat="1" ht="18.75" x14ac:dyDescent="0.25">
      <c r="A73" s="28">
        <f t="shared" si="0"/>
        <v>53</v>
      </c>
      <c r="B73" s="29" t="s">
        <v>117</v>
      </c>
      <c r="C73" s="29" t="s">
        <v>118</v>
      </c>
      <c r="D73" s="28" t="s">
        <v>15</v>
      </c>
      <c r="E73" s="28">
        <v>15480</v>
      </c>
      <c r="G73" s="17"/>
    </row>
    <row r="74" spans="1:7" s="5" customFormat="1" ht="18.75" x14ac:dyDescent="0.25">
      <c r="A74" s="28">
        <f t="shared" si="0"/>
        <v>54</v>
      </c>
      <c r="B74" s="29" t="s">
        <v>119</v>
      </c>
      <c r="C74" s="29" t="s">
        <v>120</v>
      </c>
      <c r="D74" s="28" t="s">
        <v>15</v>
      </c>
      <c r="E74" s="28">
        <v>19320</v>
      </c>
      <c r="G74" s="17"/>
    </row>
    <row r="75" spans="1:7" s="5" customFormat="1" ht="18.75" x14ac:dyDescent="0.25">
      <c r="A75" s="28">
        <f t="shared" si="0"/>
        <v>55</v>
      </c>
      <c r="B75" s="29" t="s">
        <v>121</v>
      </c>
      <c r="C75" s="29" t="s">
        <v>122</v>
      </c>
      <c r="D75" s="28" t="s">
        <v>15</v>
      </c>
      <c r="E75" s="28">
        <v>12840</v>
      </c>
      <c r="G75" s="17"/>
    </row>
    <row r="76" spans="1:7" s="5" customFormat="1" ht="18.75" x14ac:dyDescent="0.25">
      <c r="A76" s="28">
        <f t="shared" si="0"/>
        <v>56</v>
      </c>
      <c r="B76" s="29" t="s">
        <v>123</v>
      </c>
      <c r="C76" s="29" t="s">
        <v>124</v>
      </c>
      <c r="D76" s="28" t="s">
        <v>15</v>
      </c>
      <c r="E76" s="28">
        <v>15480</v>
      </c>
      <c r="G76" s="17"/>
    </row>
    <row r="77" spans="1:7" s="5" customFormat="1" ht="18.75" x14ac:dyDescent="0.25">
      <c r="A77" s="28">
        <f t="shared" si="0"/>
        <v>57</v>
      </c>
      <c r="B77" s="29" t="s">
        <v>125</v>
      </c>
      <c r="C77" s="29" t="s">
        <v>126</v>
      </c>
      <c r="D77" s="28" t="s">
        <v>15</v>
      </c>
      <c r="E77" s="28">
        <v>19320</v>
      </c>
      <c r="G77" s="17"/>
    </row>
    <row r="78" spans="1:7" s="5" customFormat="1" ht="18.75" x14ac:dyDescent="0.25">
      <c r="A78" s="28">
        <f t="shared" si="0"/>
        <v>58</v>
      </c>
      <c r="B78" s="29" t="s">
        <v>127</v>
      </c>
      <c r="C78" s="29" t="s">
        <v>128</v>
      </c>
      <c r="D78" s="28" t="s">
        <v>15</v>
      </c>
      <c r="E78" s="28">
        <v>12840</v>
      </c>
      <c r="G78" s="17"/>
    </row>
    <row r="79" spans="1:7" s="5" customFormat="1" ht="24" customHeight="1" x14ac:dyDescent="0.25">
      <c r="A79" s="28">
        <f t="shared" si="0"/>
        <v>59</v>
      </c>
      <c r="B79" s="29" t="s">
        <v>129</v>
      </c>
      <c r="C79" s="29" t="s">
        <v>130</v>
      </c>
      <c r="D79" s="28" t="s">
        <v>15</v>
      </c>
      <c r="E79" s="28">
        <v>15480</v>
      </c>
      <c r="G79" s="17"/>
    </row>
    <row r="80" spans="1:7" s="5" customFormat="1" ht="24" customHeight="1" x14ac:dyDescent="0.25">
      <c r="A80" s="28">
        <f t="shared" si="0"/>
        <v>60</v>
      </c>
      <c r="B80" s="29" t="s">
        <v>131</v>
      </c>
      <c r="C80" s="29" t="s">
        <v>132</v>
      </c>
      <c r="D80" s="28" t="s">
        <v>15</v>
      </c>
      <c r="E80" s="28">
        <v>19320</v>
      </c>
      <c r="G80" s="17"/>
    </row>
    <row r="81" spans="1:7" s="5" customFormat="1" ht="18.75" x14ac:dyDescent="0.25">
      <c r="A81" s="28">
        <f t="shared" si="0"/>
        <v>61</v>
      </c>
      <c r="B81" s="29" t="s">
        <v>133</v>
      </c>
      <c r="C81" s="29" t="s">
        <v>134</v>
      </c>
      <c r="D81" s="28" t="s">
        <v>15</v>
      </c>
      <c r="E81" s="28">
        <v>12840</v>
      </c>
      <c r="G81" s="17"/>
    </row>
    <row r="82" spans="1:7" s="5" customFormat="1" ht="18.75" x14ac:dyDescent="0.25">
      <c r="A82" s="28">
        <f t="shared" si="0"/>
        <v>62</v>
      </c>
      <c r="B82" s="29" t="s">
        <v>135</v>
      </c>
      <c r="C82" s="29" t="s">
        <v>136</v>
      </c>
      <c r="D82" s="28" t="s">
        <v>15</v>
      </c>
      <c r="E82" s="28">
        <v>15480</v>
      </c>
      <c r="G82" s="17"/>
    </row>
    <row r="83" spans="1:7" s="5" customFormat="1" ht="18.75" x14ac:dyDescent="0.25">
      <c r="A83" s="28">
        <f t="shared" si="0"/>
        <v>63</v>
      </c>
      <c r="B83" s="29" t="s">
        <v>137</v>
      </c>
      <c r="C83" s="29" t="s">
        <v>138</v>
      </c>
      <c r="D83" s="28" t="s">
        <v>15</v>
      </c>
      <c r="E83" s="28">
        <v>19320</v>
      </c>
      <c r="G83" s="17"/>
    </row>
    <row r="84" spans="1:7" s="5" customFormat="1" ht="18.75" x14ac:dyDescent="0.25">
      <c r="A84" s="28">
        <f t="shared" si="0"/>
        <v>64</v>
      </c>
      <c r="B84" s="29" t="s">
        <v>139</v>
      </c>
      <c r="C84" s="29" t="s">
        <v>140</v>
      </c>
      <c r="D84" s="28" t="s">
        <v>15</v>
      </c>
      <c r="E84" s="28">
        <v>12840</v>
      </c>
      <c r="G84" s="17"/>
    </row>
    <row r="85" spans="1:7" s="5" customFormat="1" ht="18.75" x14ac:dyDescent="0.25">
      <c r="A85" s="28">
        <f t="shared" si="0"/>
        <v>65</v>
      </c>
      <c r="B85" s="29" t="s">
        <v>141</v>
      </c>
      <c r="C85" s="29" t="s">
        <v>142</v>
      </c>
      <c r="D85" s="28" t="s">
        <v>15</v>
      </c>
      <c r="E85" s="28">
        <v>15480</v>
      </c>
      <c r="G85" s="17"/>
    </row>
    <row r="86" spans="1:7" s="5" customFormat="1" ht="18.75" x14ac:dyDescent="0.25">
      <c r="A86" s="28">
        <f t="shared" ref="A86:A149" si="1">A85+1</f>
        <v>66</v>
      </c>
      <c r="B86" s="29" t="s">
        <v>143</v>
      </c>
      <c r="C86" s="29" t="s">
        <v>144</v>
      </c>
      <c r="D86" s="28" t="s">
        <v>15</v>
      </c>
      <c r="E86" s="28">
        <v>19320</v>
      </c>
      <c r="G86" s="17"/>
    </row>
    <row r="87" spans="1:7" s="5" customFormat="1" ht="18.75" x14ac:dyDescent="0.25">
      <c r="A87" s="28">
        <f t="shared" si="1"/>
        <v>67</v>
      </c>
      <c r="B87" s="29" t="s">
        <v>145</v>
      </c>
      <c r="C87" s="29" t="s">
        <v>146</v>
      </c>
      <c r="D87" s="28" t="s">
        <v>15</v>
      </c>
      <c r="E87" s="28">
        <v>12840</v>
      </c>
      <c r="G87" s="17"/>
    </row>
    <row r="88" spans="1:7" s="5" customFormat="1" ht="18.75" x14ac:dyDescent="0.25">
      <c r="A88" s="28">
        <f t="shared" si="1"/>
        <v>68</v>
      </c>
      <c r="B88" s="29" t="s">
        <v>147</v>
      </c>
      <c r="C88" s="29" t="s">
        <v>148</v>
      </c>
      <c r="D88" s="28" t="s">
        <v>15</v>
      </c>
      <c r="E88" s="28">
        <v>15480</v>
      </c>
      <c r="G88" s="17"/>
    </row>
    <row r="89" spans="1:7" s="5" customFormat="1" ht="18.75" x14ac:dyDescent="0.25">
      <c r="A89" s="28">
        <f t="shared" si="1"/>
        <v>69</v>
      </c>
      <c r="B89" s="29" t="s">
        <v>149</v>
      </c>
      <c r="C89" s="29" t="s">
        <v>150</v>
      </c>
      <c r="D89" s="28" t="s">
        <v>15</v>
      </c>
      <c r="E89" s="28">
        <v>19320</v>
      </c>
      <c r="G89" s="17"/>
    </row>
    <row r="90" spans="1:7" s="5" customFormat="1" ht="18.75" x14ac:dyDescent="0.25">
      <c r="A90" s="28">
        <f t="shared" si="1"/>
        <v>70</v>
      </c>
      <c r="B90" s="29" t="s">
        <v>151</v>
      </c>
      <c r="C90" s="29" t="s">
        <v>152</v>
      </c>
      <c r="D90" s="28" t="s">
        <v>15</v>
      </c>
      <c r="E90" s="28">
        <v>12840</v>
      </c>
      <c r="G90" s="17"/>
    </row>
    <row r="91" spans="1:7" s="5" customFormat="1" ht="18.75" x14ac:dyDescent="0.25">
      <c r="A91" s="28">
        <f t="shared" si="1"/>
        <v>71</v>
      </c>
      <c r="B91" s="29" t="s">
        <v>153</v>
      </c>
      <c r="C91" s="29" t="s">
        <v>154</v>
      </c>
      <c r="D91" s="28" t="s">
        <v>15</v>
      </c>
      <c r="E91" s="28">
        <v>15480</v>
      </c>
      <c r="G91" s="17"/>
    </row>
    <row r="92" spans="1:7" s="5" customFormat="1" ht="18.75" x14ac:dyDescent="0.25">
      <c r="A92" s="28">
        <f t="shared" si="1"/>
        <v>72</v>
      </c>
      <c r="B92" s="29" t="s">
        <v>155</v>
      </c>
      <c r="C92" s="29" t="s">
        <v>156</v>
      </c>
      <c r="D92" s="28" t="s">
        <v>15</v>
      </c>
      <c r="E92" s="28">
        <v>19320</v>
      </c>
      <c r="G92" s="17"/>
    </row>
    <row r="93" spans="1:7" s="5" customFormat="1" ht="17.25" customHeight="1" x14ac:dyDescent="0.25">
      <c r="A93" s="28">
        <f t="shared" si="1"/>
        <v>73</v>
      </c>
      <c r="B93" s="29" t="s">
        <v>157</v>
      </c>
      <c r="C93" s="29" t="s">
        <v>158</v>
      </c>
      <c r="D93" s="28" t="s">
        <v>15</v>
      </c>
      <c r="E93" s="28">
        <v>12840</v>
      </c>
      <c r="G93" s="17"/>
    </row>
    <row r="94" spans="1:7" s="5" customFormat="1" ht="17.25" customHeight="1" x14ac:dyDescent="0.25">
      <c r="A94" s="28">
        <f t="shared" si="1"/>
        <v>74</v>
      </c>
      <c r="B94" s="29" t="s">
        <v>159</v>
      </c>
      <c r="C94" s="29" t="s">
        <v>160</v>
      </c>
      <c r="D94" s="28" t="s">
        <v>15</v>
      </c>
      <c r="E94" s="28">
        <v>15480</v>
      </c>
      <c r="G94" s="17"/>
    </row>
    <row r="95" spans="1:7" s="5" customFormat="1" ht="17.25" customHeight="1" x14ac:dyDescent="0.25">
      <c r="A95" s="28">
        <f t="shared" si="1"/>
        <v>75</v>
      </c>
      <c r="B95" s="29" t="s">
        <v>161</v>
      </c>
      <c r="C95" s="29" t="s">
        <v>162</v>
      </c>
      <c r="D95" s="28" t="s">
        <v>15</v>
      </c>
      <c r="E95" s="28">
        <v>19320</v>
      </c>
      <c r="G95" s="17"/>
    </row>
    <row r="96" spans="1:7" s="116" customFormat="1" ht="18" customHeight="1" x14ac:dyDescent="0.25">
      <c r="A96" s="28">
        <f t="shared" si="1"/>
        <v>76</v>
      </c>
      <c r="B96" s="29" t="s">
        <v>3128</v>
      </c>
      <c r="C96" s="29" t="s">
        <v>3168</v>
      </c>
      <c r="D96" s="28" t="s">
        <v>15</v>
      </c>
      <c r="E96" s="28">
        <v>15480</v>
      </c>
      <c r="G96" s="17"/>
    </row>
    <row r="97" spans="1:7" s="5" customFormat="1" ht="16.5" customHeight="1" x14ac:dyDescent="0.25">
      <c r="A97" s="28">
        <f t="shared" si="1"/>
        <v>77</v>
      </c>
      <c r="B97" s="29" t="s">
        <v>163</v>
      </c>
      <c r="C97" s="29" t="s">
        <v>164</v>
      </c>
      <c r="D97" s="28" t="s">
        <v>15</v>
      </c>
      <c r="E97" s="28">
        <v>15480</v>
      </c>
      <c r="G97" s="17"/>
    </row>
    <row r="98" spans="1:7" s="5" customFormat="1" ht="16.5" customHeight="1" x14ac:dyDescent="0.25">
      <c r="A98" s="28">
        <f t="shared" si="1"/>
        <v>78</v>
      </c>
      <c r="B98" s="29" t="s">
        <v>165</v>
      </c>
      <c r="C98" s="29" t="s">
        <v>166</v>
      </c>
      <c r="D98" s="28" t="s">
        <v>15</v>
      </c>
      <c r="E98" s="28">
        <v>19320</v>
      </c>
      <c r="G98" s="17"/>
    </row>
    <row r="99" spans="1:7" s="5" customFormat="1" ht="16.5" customHeight="1" x14ac:dyDescent="0.25">
      <c r="A99" s="28">
        <f t="shared" si="1"/>
        <v>79</v>
      </c>
      <c r="B99" s="29" t="s">
        <v>167</v>
      </c>
      <c r="C99" s="29" t="s">
        <v>168</v>
      </c>
      <c r="D99" s="28" t="s">
        <v>15</v>
      </c>
      <c r="E99" s="28">
        <v>12840</v>
      </c>
      <c r="G99" s="17"/>
    </row>
    <row r="100" spans="1:7" s="5" customFormat="1" ht="16.5" customHeight="1" x14ac:dyDescent="0.25">
      <c r="A100" s="28">
        <f t="shared" si="1"/>
        <v>80</v>
      </c>
      <c r="B100" s="29" t="s">
        <v>169</v>
      </c>
      <c r="C100" s="29" t="s">
        <v>170</v>
      </c>
      <c r="D100" s="28" t="s">
        <v>15</v>
      </c>
      <c r="E100" s="28">
        <v>15480</v>
      </c>
      <c r="G100" s="17"/>
    </row>
    <row r="101" spans="1:7" s="5" customFormat="1" ht="16.5" customHeight="1" x14ac:dyDescent="0.25">
      <c r="A101" s="28">
        <f t="shared" si="1"/>
        <v>81</v>
      </c>
      <c r="B101" s="29" t="s">
        <v>171</v>
      </c>
      <c r="C101" s="29" t="s">
        <v>172</v>
      </c>
      <c r="D101" s="28" t="s">
        <v>15</v>
      </c>
      <c r="E101" s="28">
        <v>19320</v>
      </c>
      <c r="G101" s="17"/>
    </row>
    <row r="102" spans="1:7" s="5" customFormat="1" ht="18.75" x14ac:dyDescent="0.25">
      <c r="A102" s="28">
        <f t="shared" si="1"/>
        <v>82</v>
      </c>
      <c r="B102" s="29" t="s">
        <v>173</v>
      </c>
      <c r="C102" s="29" t="s">
        <v>174</v>
      </c>
      <c r="D102" s="28" t="s">
        <v>15</v>
      </c>
      <c r="E102" s="28">
        <v>12840</v>
      </c>
      <c r="G102" s="17"/>
    </row>
    <row r="103" spans="1:7" s="5" customFormat="1" ht="25.5" x14ac:dyDescent="0.25">
      <c r="A103" s="28">
        <f t="shared" si="1"/>
        <v>83</v>
      </c>
      <c r="B103" s="29" t="s">
        <v>175</v>
      </c>
      <c r="C103" s="29" t="s">
        <v>176</v>
      </c>
      <c r="D103" s="28" t="s">
        <v>15</v>
      </c>
      <c r="E103" s="28">
        <v>15480</v>
      </c>
      <c r="G103" s="17"/>
    </row>
    <row r="104" spans="1:7" s="5" customFormat="1" ht="25.5" x14ac:dyDescent="0.25">
      <c r="A104" s="28">
        <f t="shared" si="1"/>
        <v>84</v>
      </c>
      <c r="B104" s="29" t="s">
        <v>177</v>
      </c>
      <c r="C104" s="29" t="s">
        <v>178</v>
      </c>
      <c r="D104" s="28" t="s">
        <v>15</v>
      </c>
      <c r="E104" s="28">
        <v>19320</v>
      </c>
      <c r="G104" s="17"/>
    </row>
    <row r="105" spans="1:7" s="5" customFormat="1" ht="20.25" customHeight="1" x14ac:dyDescent="0.25">
      <c r="A105" s="28">
        <f t="shared" si="1"/>
        <v>85</v>
      </c>
      <c r="B105" s="29" t="s">
        <v>179</v>
      </c>
      <c r="C105" s="29" t="s">
        <v>180</v>
      </c>
      <c r="D105" s="28" t="s">
        <v>15</v>
      </c>
      <c r="E105" s="28">
        <v>12840</v>
      </c>
      <c r="G105" s="17"/>
    </row>
    <row r="106" spans="1:7" s="5" customFormat="1" ht="20.25" customHeight="1" x14ac:dyDescent="0.25">
      <c r="A106" s="28">
        <f t="shared" si="1"/>
        <v>86</v>
      </c>
      <c r="B106" s="29" t="s">
        <v>181</v>
      </c>
      <c r="C106" s="29" t="s">
        <v>182</v>
      </c>
      <c r="D106" s="28" t="s">
        <v>15</v>
      </c>
      <c r="E106" s="28">
        <v>15480</v>
      </c>
      <c r="G106" s="17"/>
    </row>
    <row r="107" spans="1:7" s="5" customFormat="1" ht="20.25" customHeight="1" x14ac:dyDescent="0.25">
      <c r="A107" s="28">
        <f t="shared" si="1"/>
        <v>87</v>
      </c>
      <c r="B107" s="29" t="s">
        <v>183</v>
      </c>
      <c r="C107" s="29" t="s">
        <v>184</v>
      </c>
      <c r="D107" s="28" t="s">
        <v>15</v>
      </c>
      <c r="E107" s="28">
        <v>19320</v>
      </c>
      <c r="G107" s="17"/>
    </row>
    <row r="108" spans="1:7" s="5" customFormat="1" ht="20.25" customHeight="1" x14ac:dyDescent="0.25">
      <c r="A108" s="28">
        <f t="shared" si="1"/>
        <v>88</v>
      </c>
      <c r="B108" s="29" t="s">
        <v>185</v>
      </c>
      <c r="C108" s="29" t="s">
        <v>186</v>
      </c>
      <c r="D108" s="28" t="s">
        <v>15</v>
      </c>
      <c r="E108" s="28">
        <v>12840</v>
      </c>
      <c r="G108" s="17"/>
    </row>
    <row r="109" spans="1:7" s="5" customFormat="1" ht="20.25" customHeight="1" x14ac:dyDescent="0.25">
      <c r="A109" s="28">
        <f t="shared" si="1"/>
        <v>89</v>
      </c>
      <c r="B109" s="29" t="s">
        <v>187</v>
      </c>
      <c r="C109" s="29" t="s">
        <v>188</v>
      </c>
      <c r="D109" s="28" t="s">
        <v>15</v>
      </c>
      <c r="E109" s="28">
        <v>15480</v>
      </c>
      <c r="G109" s="17"/>
    </row>
    <row r="110" spans="1:7" s="5" customFormat="1" ht="20.25" customHeight="1" x14ac:dyDescent="0.25">
      <c r="A110" s="28">
        <f t="shared" si="1"/>
        <v>90</v>
      </c>
      <c r="B110" s="29" t="s">
        <v>189</v>
      </c>
      <c r="C110" s="29" t="s">
        <v>190</v>
      </c>
      <c r="D110" s="28" t="s">
        <v>15</v>
      </c>
      <c r="E110" s="28">
        <v>19320</v>
      </c>
      <c r="G110" s="17"/>
    </row>
    <row r="111" spans="1:7" s="5" customFormat="1" ht="18.75" x14ac:dyDescent="0.25">
      <c r="A111" s="28">
        <f t="shared" si="1"/>
        <v>91</v>
      </c>
      <c r="B111" s="29" t="s">
        <v>191</v>
      </c>
      <c r="C111" s="29" t="s">
        <v>192</v>
      </c>
      <c r="D111" s="28" t="s">
        <v>15</v>
      </c>
      <c r="E111" s="28">
        <v>12840</v>
      </c>
      <c r="G111" s="17"/>
    </row>
    <row r="112" spans="1:7" s="5" customFormat="1" ht="18.75" x14ac:dyDescent="0.25">
      <c r="A112" s="28">
        <f t="shared" si="1"/>
        <v>92</v>
      </c>
      <c r="B112" s="29" t="s">
        <v>193</v>
      </c>
      <c r="C112" s="29" t="s">
        <v>194</v>
      </c>
      <c r="D112" s="28" t="s">
        <v>15</v>
      </c>
      <c r="E112" s="28">
        <v>15480</v>
      </c>
      <c r="G112" s="17"/>
    </row>
    <row r="113" spans="1:7" s="5" customFormat="1" ht="18.75" x14ac:dyDescent="0.25">
      <c r="A113" s="28">
        <f t="shared" si="1"/>
        <v>93</v>
      </c>
      <c r="B113" s="29" t="s">
        <v>195</v>
      </c>
      <c r="C113" s="29" t="s">
        <v>196</v>
      </c>
      <c r="D113" s="28" t="s">
        <v>15</v>
      </c>
      <c r="E113" s="28">
        <v>19320</v>
      </c>
      <c r="G113" s="17"/>
    </row>
    <row r="114" spans="1:7" s="5" customFormat="1" ht="21.75" customHeight="1" x14ac:dyDescent="0.25">
      <c r="A114" s="28">
        <f t="shared" si="1"/>
        <v>94</v>
      </c>
      <c r="B114" s="29" t="s">
        <v>197</v>
      </c>
      <c r="C114" s="29" t="s">
        <v>198</v>
      </c>
      <c r="D114" s="28" t="s">
        <v>15</v>
      </c>
      <c r="E114" s="28">
        <v>12840</v>
      </c>
      <c r="G114" s="17"/>
    </row>
    <row r="115" spans="1:7" s="5" customFormat="1" ht="21.75" customHeight="1" x14ac:dyDescent="0.25">
      <c r="A115" s="28">
        <f t="shared" si="1"/>
        <v>95</v>
      </c>
      <c r="B115" s="29" t="s">
        <v>199</v>
      </c>
      <c r="C115" s="29" t="s">
        <v>200</v>
      </c>
      <c r="D115" s="28" t="s">
        <v>15</v>
      </c>
      <c r="E115" s="28">
        <v>15480</v>
      </c>
      <c r="G115" s="17"/>
    </row>
    <row r="116" spans="1:7" s="5" customFormat="1" ht="21.75" customHeight="1" x14ac:dyDescent="0.25">
      <c r="A116" s="28">
        <f t="shared" si="1"/>
        <v>96</v>
      </c>
      <c r="B116" s="29" t="s">
        <v>201</v>
      </c>
      <c r="C116" s="29" t="s">
        <v>202</v>
      </c>
      <c r="D116" s="28" t="s">
        <v>15</v>
      </c>
      <c r="E116" s="28">
        <v>19320</v>
      </c>
      <c r="G116" s="17"/>
    </row>
    <row r="117" spans="1:7" s="5" customFormat="1" ht="21.75" customHeight="1" x14ac:dyDescent="0.25">
      <c r="A117" s="28">
        <f t="shared" si="1"/>
        <v>97</v>
      </c>
      <c r="B117" s="29" t="s">
        <v>203</v>
      </c>
      <c r="C117" s="29" t="s">
        <v>204</v>
      </c>
      <c r="D117" s="28" t="s">
        <v>15</v>
      </c>
      <c r="E117" s="28">
        <v>12840</v>
      </c>
      <c r="G117" s="17"/>
    </row>
    <row r="118" spans="1:7" s="5" customFormat="1" ht="21.75" customHeight="1" x14ac:dyDescent="0.25">
      <c r="A118" s="28">
        <f t="shared" si="1"/>
        <v>98</v>
      </c>
      <c r="B118" s="29" t="s">
        <v>205</v>
      </c>
      <c r="C118" s="29" t="s">
        <v>206</v>
      </c>
      <c r="D118" s="28" t="s">
        <v>15</v>
      </c>
      <c r="E118" s="28">
        <v>15480</v>
      </c>
      <c r="G118" s="17"/>
    </row>
    <row r="119" spans="1:7" s="5" customFormat="1" ht="21.75" customHeight="1" x14ac:dyDescent="0.25">
      <c r="A119" s="28">
        <f t="shared" si="1"/>
        <v>99</v>
      </c>
      <c r="B119" s="29" t="s">
        <v>207</v>
      </c>
      <c r="C119" s="29" t="s">
        <v>208</v>
      </c>
      <c r="D119" s="28" t="s">
        <v>15</v>
      </c>
      <c r="E119" s="28">
        <v>19320</v>
      </c>
      <c r="G119" s="17"/>
    </row>
    <row r="120" spans="1:7" s="5" customFormat="1" ht="28.5" customHeight="1" x14ac:dyDescent="0.25">
      <c r="A120" s="28">
        <f t="shared" si="1"/>
        <v>100</v>
      </c>
      <c r="B120" s="29" t="s">
        <v>209</v>
      </c>
      <c r="C120" s="29" t="s">
        <v>210</v>
      </c>
      <c r="D120" s="28" t="s">
        <v>15</v>
      </c>
      <c r="E120" s="28">
        <v>12840</v>
      </c>
      <c r="G120" s="17"/>
    </row>
    <row r="121" spans="1:7" s="5" customFormat="1" ht="28.5" customHeight="1" x14ac:dyDescent="0.25">
      <c r="A121" s="28">
        <f t="shared" si="1"/>
        <v>101</v>
      </c>
      <c r="B121" s="29" t="s">
        <v>211</v>
      </c>
      <c r="C121" s="29" t="s">
        <v>212</v>
      </c>
      <c r="D121" s="28" t="s">
        <v>15</v>
      </c>
      <c r="E121" s="28">
        <v>15480</v>
      </c>
      <c r="G121" s="17"/>
    </row>
    <row r="122" spans="1:7" s="5" customFormat="1" ht="28.5" customHeight="1" x14ac:dyDescent="0.25">
      <c r="A122" s="28">
        <f t="shared" si="1"/>
        <v>102</v>
      </c>
      <c r="B122" s="29" t="s">
        <v>213</v>
      </c>
      <c r="C122" s="29" t="s">
        <v>214</v>
      </c>
      <c r="D122" s="28" t="s">
        <v>15</v>
      </c>
      <c r="E122" s="28">
        <v>19320</v>
      </c>
      <c r="G122" s="17"/>
    </row>
    <row r="123" spans="1:7" s="5" customFormat="1" ht="18.75" x14ac:dyDescent="0.25">
      <c r="A123" s="28">
        <f t="shared" si="1"/>
        <v>103</v>
      </c>
      <c r="B123" s="29" t="s">
        <v>215</v>
      </c>
      <c r="C123" s="29" t="s">
        <v>216</v>
      </c>
      <c r="D123" s="28" t="s">
        <v>15</v>
      </c>
      <c r="E123" s="28">
        <v>15480</v>
      </c>
      <c r="G123" s="17"/>
    </row>
    <row r="124" spans="1:7" s="5" customFormat="1" ht="18.75" x14ac:dyDescent="0.25">
      <c r="A124" s="28">
        <f t="shared" si="1"/>
        <v>104</v>
      </c>
      <c r="B124" s="29" t="s">
        <v>217</v>
      </c>
      <c r="C124" s="29" t="s">
        <v>218</v>
      </c>
      <c r="D124" s="28" t="s">
        <v>15</v>
      </c>
      <c r="E124" s="28">
        <v>15480</v>
      </c>
      <c r="G124" s="17"/>
    </row>
    <row r="125" spans="1:7" s="5" customFormat="1" ht="18.75" x14ac:dyDescent="0.25">
      <c r="A125" s="28">
        <f t="shared" si="1"/>
        <v>105</v>
      </c>
      <c r="B125" s="29" t="s">
        <v>219</v>
      </c>
      <c r="C125" s="29" t="s">
        <v>220</v>
      </c>
      <c r="D125" s="28" t="s">
        <v>15</v>
      </c>
      <c r="E125" s="28">
        <v>19320</v>
      </c>
      <c r="G125" s="17"/>
    </row>
    <row r="126" spans="1:7" s="5" customFormat="1" ht="18.75" x14ac:dyDescent="0.25">
      <c r="A126" s="28">
        <f t="shared" si="1"/>
        <v>106</v>
      </c>
      <c r="B126" s="29" t="s">
        <v>221</v>
      </c>
      <c r="C126" s="29" t="s">
        <v>222</v>
      </c>
      <c r="D126" s="28" t="s">
        <v>15</v>
      </c>
      <c r="E126" s="28">
        <v>12840</v>
      </c>
      <c r="G126" s="17"/>
    </row>
    <row r="127" spans="1:7" s="5" customFormat="1" ht="18.75" x14ac:dyDescent="0.25">
      <c r="A127" s="28">
        <f t="shared" si="1"/>
        <v>107</v>
      </c>
      <c r="B127" s="29" t="s">
        <v>223</v>
      </c>
      <c r="C127" s="29" t="s">
        <v>224</v>
      </c>
      <c r="D127" s="28" t="s">
        <v>15</v>
      </c>
      <c r="E127" s="28">
        <v>15480</v>
      </c>
      <c r="G127" s="17"/>
    </row>
    <row r="128" spans="1:7" s="5" customFormat="1" ht="18.75" x14ac:dyDescent="0.25">
      <c r="A128" s="28">
        <f t="shared" si="1"/>
        <v>108</v>
      </c>
      <c r="B128" s="29" t="s">
        <v>225</v>
      </c>
      <c r="C128" s="29" t="s">
        <v>226</v>
      </c>
      <c r="D128" s="28" t="s">
        <v>15</v>
      </c>
      <c r="E128" s="28">
        <v>19320</v>
      </c>
      <c r="G128" s="17"/>
    </row>
    <row r="129" spans="1:7" s="5" customFormat="1" ht="18.75" x14ac:dyDescent="0.25">
      <c r="A129" s="28">
        <f t="shared" si="1"/>
        <v>109</v>
      </c>
      <c r="B129" s="29" t="s">
        <v>227</v>
      </c>
      <c r="C129" s="29" t="s">
        <v>36</v>
      </c>
      <c r="D129" s="28" t="s">
        <v>15</v>
      </c>
      <c r="E129" s="28">
        <v>12840</v>
      </c>
      <c r="G129" s="17"/>
    </row>
    <row r="130" spans="1:7" s="5" customFormat="1" ht="18.75" x14ac:dyDescent="0.25">
      <c r="A130" s="28">
        <f t="shared" si="1"/>
        <v>110</v>
      </c>
      <c r="B130" s="29" t="s">
        <v>228</v>
      </c>
      <c r="C130" s="29" t="s">
        <v>38</v>
      </c>
      <c r="D130" s="28" t="s">
        <v>15</v>
      </c>
      <c r="E130" s="28">
        <v>15480</v>
      </c>
      <c r="G130" s="17"/>
    </row>
    <row r="131" spans="1:7" s="5" customFormat="1" ht="18.75" x14ac:dyDescent="0.25">
      <c r="A131" s="28">
        <f t="shared" si="1"/>
        <v>111</v>
      </c>
      <c r="B131" s="29" t="s">
        <v>229</v>
      </c>
      <c r="C131" s="29" t="s">
        <v>40</v>
      </c>
      <c r="D131" s="28" t="s">
        <v>15</v>
      </c>
      <c r="E131" s="28">
        <v>19320</v>
      </c>
      <c r="G131" s="17"/>
    </row>
    <row r="132" spans="1:7" s="5" customFormat="1" ht="18.75" x14ac:dyDescent="0.25">
      <c r="A132" s="28">
        <f t="shared" si="1"/>
        <v>112</v>
      </c>
      <c r="B132" s="29" t="s">
        <v>230</v>
      </c>
      <c r="C132" s="29" t="s">
        <v>17</v>
      </c>
      <c r="D132" s="28" t="s">
        <v>15</v>
      </c>
      <c r="E132" s="28">
        <v>11610</v>
      </c>
      <c r="G132" s="17"/>
    </row>
    <row r="133" spans="1:7" s="5" customFormat="1" ht="18.75" x14ac:dyDescent="0.25">
      <c r="A133" s="28">
        <f t="shared" si="1"/>
        <v>113</v>
      </c>
      <c r="B133" s="29" t="s">
        <v>231</v>
      </c>
      <c r="C133" s="29" t="s">
        <v>19</v>
      </c>
      <c r="D133" s="28" t="s">
        <v>15</v>
      </c>
      <c r="E133" s="28">
        <v>14490</v>
      </c>
      <c r="G133" s="17"/>
    </row>
    <row r="134" spans="1:7" s="5" customFormat="1" ht="18.75" x14ac:dyDescent="0.25">
      <c r="A134" s="28">
        <f t="shared" si="1"/>
        <v>114</v>
      </c>
      <c r="B134" s="29" t="s">
        <v>232</v>
      </c>
      <c r="C134" s="29" t="s">
        <v>21</v>
      </c>
      <c r="D134" s="28" t="s">
        <v>15</v>
      </c>
      <c r="E134" s="28">
        <v>9630</v>
      </c>
      <c r="G134" s="17"/>
    </row>
    <row r="135" spans="1:7" s="5" customFormat="1" ht="18.75" x14ac:dyDescent="0.25">
      <c r="A135" s="28">
        <f t="shared" si="1"/>
        <v>115</v>
      </c>
      <c r="B135" s="29" t="s">
        <v>233</v>
      </c>
      <c r="C135" s="29" t="s">
        <v>23</v>
      </c>
      <c r="D135" s="28" t="s">
        <v>15</v>
      </c>
      <c r="E135" s="28">
        <v>11610</v>
      </c>
      <c r="G135" s="17"/>
    </row>
    <row r="136" spans="1:7" s="5" customFormat="1" ht="18.75" x14ac:dyDescent="0.25">
      <c r="A136" s="28">
        <f t="shared" si="1"/>
        <v>116</v>
      </c>
      <c r="B136" s="29" t="s">
        <v>234</v>
      </c>
      <c r="C136" s="29" t="s">
        <v>25</v>
      </c>
      <c r="D136" s="28" t="s">
        <v>15</v>
      </c>
      <c r="E136" s="28">
        <v>14490</v>
      </c>
      <c r="G136" s="17"/>
    </row>
    <row r="137" spans="1:7" s="5" customFormat="1" ht="18.75" x14ac:dyDescent="0.25">
      <c r="A137" s="28">
        <f t="shared" si="1"/>
        <v>117</v>
      </c>
      <c r="B137" s="29" t="s">
        <v>235</v>
      </c>
      <c r="C137" s="29" t="s">
        <v>21</v>
      </c>
      <c r="D137" s="28" t="s">
        <v>15</v>
      </c>
      <c r="E137" s="28">
        <v>9630</v>
      </c>
      <c r="G137" s="17"/>
    </row>
    <row r="138" spans="1:7" s="5" customFormat="1" ht="18.75" x14ac:dyDescent="0.25">
      <c r="A138" s="28">
        <f t="shared" si="1"/>
        <v>118</v>
      </c>
      <c r="B138" s="29" t="s">
        <v>236</v>
      </c>
      <c r="C138" s="29" t="s">
        <v>23</v>
      </c>
      <c r="D138" s="28" t="s">
        <v>15</v>
      </c>
      <c r="E138" s="28">
        <v>11610</v>
      </c>
      <c r="G138" s="17"/>
    </row>
    <row r="139" spans="1:7" s="5" customFormat="1" ht="18.75" x14ac:dyDescent="0.25">
      <c r="A139" s="28">
        <f t="shared" si="1"/>
        <v>119</v>
      </c>
      <c r="B139" s="29" t="s">
        <v>237</v>
      </c>
      <c r="C139" s="29" t="s">
        <v>25</v>
      </c>
      <c r="D139" s="28" t="s">
        <v>15</v>
      </c>
      <c r="E139" s="28">
        <v>14490</v>
      </c>
      <c r="G139" s="17"/>
    </row>
    <row r="140" spans="1:7" s="5" customFormat="1" ht="18.75" x14ac:dyDescent="0.25">
      <c r="A140" s="28">
        <f t="shared" si="1"/>
        <v>120</v>
      </c>
      <c r="B140" s="29" t="s">
        <v>238</v>
      </c>
      <c r="C140" s="29" t="s">
        <v>30</v>
      </c>
      <c r="D140" s="28" t="s">
        <v>15</v>
      </c>
      <c r="E140" s="28">
        <v>9630</v>
      </c>
      <c r="G140" s="17"/>
    </row>
    <row r="141" spans="1:7" s="5" customFormat="1" ht="25.5" x14ac:dyDescent="0.25">
      <c r="A141" s="28">
        <f t="shared" si="1"/>
        <v>121</v>
      </c>
      <c r="B141" s="29" t="s">
        <v>239</v>
      </c>
      <c r="C141" s="29" t="s">
        <v>32</v>
      </c>
      <c r="D141" s="28" t="s">
        <v>15</v>
      </c>
      <c r="E141" s="28">
        <v>11610</v>
      </c>
      <c r="G141" s="17"/>
    </row>
    <row r="142" spans="1:7" s="5" customFormat="1" ht="25.5" x14ac:dyDescent="0.25">
      <c r="A142" s="28">
        <f t="shared" si="1"/>
        <v>122</v>
      </c>
      <c r="B142" s="29" t="s">
        <v>240</v>
      </c>
      <c r="C142" s="29" t="s">
        <v>34</v>
      </c>
      <c r="D142" s="28" t="s">
        <v>15</v>
      </c>
      <c r="E142" s="28">
        <v>14490</v>
      </c>
      <c r="G142" s="17"/>
    </row>
    <row r="143" spans="1:7" s="5" customFormat="1" ht="18.75" x14ac:dyDescent="0.25">
      <c r="A143" s="28">
        <f t="shared" si="1"/>
        <v>123</v>
      </c>
      <c r="B143" s="29" t="s">
        <v>241</v>
      </c>
      <c r="C143" s="29" t="s">
        <v>36</v>
      </c>
      <c r="D143" s="28" t="s">
        <v>15</v>
      </c>
      <c r="E143" s="28">
        <v>9630</v>
      </c>
      <c r="G143" s="17"/>
    </row>
    <row r="144" spans="1:7" s="5" customFormat="1" ht="18.75" x14ac:dyDescent="0.25">
      <c r="A144" s="28">
        <f t="shared" si="1"/>
        <v>124</v>
      </c>
      <c r="B144" s="29" t="s">
        <v>242</v>
      </c>
      <c r="C144" s="29" t="s">
        <v>38</v>
      </c>
      <c r="D144" s="28" t="s">
        <v>15</v>
      </c>
      <c r="E144" s="28">
        <v>11610</v>
      </c>
      <c r="G144" s="17"/>
    </row>
    <row r="145" spans="1:7" s="5" customFormat="1" ht="18.75" x14ac:dyDescent="0.25">
      <c r="A145" s="28">
        <f t="shared" si="1"/>
        <v>125</v>
      </c>
      <c r="B145" s="29" t="s">
        <v>243</v>
      </c>
      <c r="C145" s="29" t="s">
        <v>40</v>
      </c>
      <c r="D145" s="28" t="s">
        <v>15</v>
      </c>
      <c r="E145" s="28">
        <v>14490</v>
      </c>
      <c r="G145" s="17"/>
    </row>
    <row r="146" spans="1:7" s="5" customFormat="1" ht="18.75" x14ac:dyDescent="0.25">
      <c r="A146" s="28">
        <f t="shared" si="1"/>
        <v>126</v>
      </c>
      <c r="B146" s="29" t="s">
        <v>244</v>
      </c>
      <c r="C146" s="29" t="s">
        <v>42</v>
      </c>
      <c r="D146" s="28" t="s">
        <v>15</v>
      </c>
      <c r="E146" s="28">
        <v>9630</v>
      </c>
      <c r="G146" s="17"/>
    </row>
    <row r="147" spans="1:7" s="5" customFormat="1" ht="18.75" x14ac:dyDescent="0.25">
      <c r="A147" s="28">
        <f t="shared" si="1"/>
        <v>127</v>
      </c>
      <c r="B147" s="29" t="s">
        <v>245</v>
      </c>
      <c r="C147" s="29" t="s">
        <v>44</v>
      </c>
      <c r="D147" s="28" t="s">
        <v>15</v>
      </c>
      <c r="E147" s="28">
        <v>11610</v>
      </c>
      <c r="G147" s="17"/>
    </row>
    <row r="148" spans="1:7" s="5" customFormat="1" ht="18.75" x14ac:dyDescent="0.25">
      <c r="A148" s="28">
        <f t="shared" si="1"/>
        <v>128</v>
      </c>
      <c r="B148" s="29" t="s">
        <v>246</v>
      </c>
      <c r="C148" s="29" t="s">
        <v>46</v>
      </c>
      <c r="D148" s="28" t="s">
        <v>15</v>
      </c>
      <c r="E148" s="28">
        <v>14490</v>
      </c>
      <c r="G148" s="17"/>
    </row>
    <row r="149" spans="1:7" s="5" customFormat="1" ht="22.5" customHeight="1" x14ac:dyDescent="0.25">
      <c r="A149" s="28">
        <f t="shared" si="1"/>
        <v>129</v>
      </c>
      <c r="B149" s="29" t="s">
        <v>247</v>
      </c>
      <c r="C149" s="29" t="s">
        <v>48</v>
      </c>
      <c r="D149" s="28" t="s">
        <v>15</v>
      </c>
      <c r="E149" s="28">
        <v>9630</v>
      </c>
      <c r="G149" s="17"/>
    </row>
    <row r="150" spans="1:7" s="5" customFormat="1" ht="18.75" x14ac:dyDescent="0.25">
      <c r="A150" s="28">
        <f t="shared" ref="A150:A213" si="2">A149+1</f>
        <v>130</v>
      </c>
      <c r="B150" s="29" t="s">
        <v>248</v>
      </c>
      <c r="C150" s="29" t="s">
        <v>50</v>
      </c>
      <c r="D150" s="28" t="s">
        <v>15</v>
      </c>
      <c r="E150" s="28">
        <v>11610</v>
      </c>
      <c r="G150" s="17"/>
    </row>
    <row r="151" spans="1:7" s="5" customFormat="1" ht="18.75" x14ac:dyDescent="0.25">
      <c r="A151" s="28">
        <f t="shared" si="2"/>
        <v>131</v>
      </c>
      <c r="B151" s="29" t="s">
        <v>249</v>
      </c>
      <c r="C151" s="29" t="s">
        <v>52</v>
      </c>
      <c r="D151" s="28" t="s">
        <v>15</v>
      </c>
      <c r="E151" s="28">
        <v>14490</v>
      </c>
      <c r="G151" s="17"/>
    </row>
    <row r="152" spans="1:7" s="5" customFormat="1" ht="18.75" x14ac:dyDescent="0.25">
      <c r="A152" s="28">
        <f t="shared" si="2"/>
        <v>132</v>
      </c>
      <c r="B152" s="29" t="s">
        <v>250</v>
      </c>
      <c r="C152" s="29" t="s">
        <v>54</v>
      </c>
      <c r="D152" s="28" t="s">
        <v>15</v>
      </c>
      <c r="E152" s="28">
        <v>9630</v>
      </c>
      <c r="G152" s="17"/>
    </row>
    <row r="153" spans="1:7" s="5" customFormat="1" ht="18.75" x14ac:dyDescent="0.25">
      <c r="A153" s="28">
        <f t="shared" si="2"/>
        <v>133</v>
      </c>
      <c r="B153" s="29" t="s">
        <v>251</v>
      </c>
      <c r="C153" s="29" t="s">
        <v>56</v>
      </c>
      <c r="D153" s="28" t="s">
        <v>15</v>
      </c>
      <c r="E153" s="28">
        <v>11610</v>
      </c>
      <c r="G153" s="17"/>
    </row>
    <row r="154" spans="1:7" s="5" customFormat="1" ht="18.75" x14ac:dyDescent="0.25">
      <c r="A154" s="28">
        <f t="shared" si="2"/>
        <v>134</v>
      </c>
      <c r="B154" s="29" t="s">
        <v>252</v>
      </c>
      <c r="C154" s="29" t="s">
        <v>58</v>
      </c>
      <c r="D154" s="28" t="s">
        <v>15</v>
      </c>
      <c r="E154" s="28">
        <v>14490</v>
      </c>
      <c r="G154" s="17"/>
    </row>
    <row r="155" spans="1:7" s="5" customFormat="1" ht="18.75" x14ac:dyDescent="0.25">
      <c r="A155" s="28">
        <f t="shared" si="2"/>
        <v>135</v>
      </c>
      <c r="B155" s="29" t="s">
        <v>253</v>
      </c>
      <c r="C155" s="29" t="s">
        <v>60</v>
      </c>
      <c r="D155" s="28" t="s">
        <v>15</v>
      </c>
      <c r="E155" s="28">
        <v>9630</v>
      </c>
      <c r="G155" s="17"/>
    </row>
    <row r="156" spans="1:7" s="5" customFormat="1" ht="18.75" x14ac:dyDescent="0.25">
      <c r="A156" s="28">
        <f t="shared" si="2"/>
        <v>136</v>
      </c>
      <c r="B156" s="29" t="s">
        <v>254</v>
      </c>
      <c r="C156" s="29" t="s">
        <v>62</v>
      </c>
      <c r="D156" s="28" t="s">
        <v>15</v>
      </c>
      <c r="E156" s="28">
        <v>11610</v>
      </c>
      <c r="G156" s="17"/>
    </row>
    <row r="157" spans="1:7" s="5" customFormat="1" ht="18.75" x14ac:dyDescent="0.25">
      <c r="A157" s="28">
        <f t="shared" si="2"/>
        <v>137</v>
      </c>
      <c r="B157" s="29" t="s">
        <v>255</v>
      </c>
      <c r="C157" s="29" t="s">
        <v>64</v>
      </c>
      <c r="D157" s="28" t="s">
        <v>15</v>
      </c>
      <c r="E157" s="28">
        <v>14490</v>
      </c>
      <c r="G157" s="17"/>
    </row>
    <row r="158" spans="1:7" s="5" customFormat="1" ht="18.75" x14ac:dyDescent="0.25">
      <c r="A158" s="28">
        <f t="shared" si="2"/>
        <v>138</v>
      </c>
      <c r="B158" s="29" t="s">
        <v>256</v>
      </c>
      <c r="C158" s="29" t="s">
        <v>78</v>
      </c>
      <c r="D158" s="28" t="s">
        <v>15</v>
      </c>
      <c r="E158" s="28">
        <v>9630</v>
      </c>
      <c r="G158" s="17"/>
    </row>
    <row r="159" spans="1:7" s="5" customFormat="1" ht="18.75" x14ac:dyDescent="0.25">
      <c r="A159" s="28">
        <f t="shared" si="2"/>
        <v>139</v>
      </c>
      <c r="B159" s="29" t="s">
        <v>260</v>
      </c>
      <c r="C159" s="29" t="s">
        <v>80</v>
      </c>
      <c r="D159" s="28" t="s">
        <v>15</v>
      </c>
      <c r="E159" s="28">
        <v>11610</v>
      </c>
      <c r="G159" s="17"/>
    </row>
    <row r="160" spans="1:7" s="5" customFormat="1" ht="18.75" x14ac:dyDescent="0.25">
      <c r="A160" s="28">
        <f t="shared" si="2"/>
        <v>140</v>
      </c>
      <c r="B160" s="29" t="s">
        <v>261</v>
      </c>
      <c r="C160" s="29" t="s">
        <v>82</v>
      </c>
      <c r="D160" s="28" t="s">
        <v>15</v>
      </c>
      <c r="E160" s="28">
        <v>14490</v>
      </c>
      <c r="G160" s="17"/>
    </row>
    <row r="161" spans="1:7" s="5" customFormat="1" ht="18.75" x14ac:dyDescent="0.25">
      <c r="A161" s="28">
        <f t="shared" si="2"/>
        <v>141</v>
      </c>
      <c r="B161" s="29" t="s">
        <v>257</v>
      </c>
      <c r="C161" s="29" t="s">
        <v>66</v>
      </c>
      <c r="D161" s="28" t="s">
        <v>15</v>
      </c>
      <c r="E161" s="28">
        <v>9630</v>
      </c>
      <c r="G161" s="17"/>
    </row>
    <row r="162" spans="1:7" s="5" customFormat="1" ht="18.75" x14ac:dyDescent="0.25">
      <c r="A162" s="28">
        <f t="shared" si="2"/>
        <v>142</v>
      </c>
      <c r="B162" s="29" t="s">
        <v>258</v>
      </c>
      <c r="C162" s="29" t="s">
        <v>68</v>
      </c>
      <c r="D162" s="28" t="s">
        <v>15</v>
      </c>
      <c r="E162" s="28">
        <v>11610</v>
      </c>
      <c r="G162" s="17"/>
    </row>
    <row r="163" spans="1:7" s="5" customFormat="1" ht="18.75" x14ac:dyDescent="0.25">
      <c r="A163" s="28">
        <f t="shared" si="2"/>
        <v>143</v>
      </c>
      <c r="B163" s="29" t="s">
        <v>259</v>
      </c>
      <c r="C163" s="29" t="s">
        <v>70</v>
      </c>
      <c r="D163" s="28" t="s">
        <v>15</v>
      </c>
      <c r="E163" s="28">
        <v>14490</v>
      </c>
      <c r="G163" s="17"/>
    </row>
    <row r="164" spans="1:7" s="5" customFormat="1" ht="25.5" x14ac:dyDescent="0.25">
      <c r="A164" s="28">
        <f t="shared" si="2"/>
        <v>144</v>
      </c>
      <c r="B164" s="29" t="s">
        <v>262</v>
      </c>
      <c r="C164" s="29" t="s">
        <v>72</v>
      </c>
      <c r="D164" s="28" t="s">
        <v>15</v>
      </c>
      <c r="E164" s="28">
        <v>9630</v>
      </c>
      <c r="G164" s="17"/>
    </row>
    <row r="165" spans="1:7" s="5" customFormat="1" ht="25.5" x14ac:dyDescent="0.25">
      <c r="A165" s="28">
        <f t="shared" si="2"/>
        <v>145</v>
      </c>
      <c r="B165" s="29" t="s">
        <v>263</v>
      </c>
      <c r="C165" s="29" t="s">
        <v>74</v>
      </c>
      <c r="D165" s="28" t="s">
        <v>15</v>
      </c>
      <c r="E165" s="28">
        <v>11610</v>
      </c>
      <c r="G165" s="17"/>
    </row>
    <row r="166" spans="1:7" s="5" customFormat="1" ht="25.5" x14ac:dyDescent="0.25">
      <c r="A166" s="28">
        <f t="shared" si="2"/>
        <v>146</v>
      </c>
      <c r="B166" s="29" t="s">
        <v>264</v>
      </c>
      <c r="C166" s="29" t="s">
        <v>76</v>
      </c>
      <c r="D166" s="28" t="s">
        <v>15</v>
      </c>
      <c r="E166" s="28">
        <v>14490</v>
      </c>
      <c r="G166" s="17"/>
    </row>
    <row r="167" spans="1:7" s="5" customFormat="1" ht="18.75" x14ac:dyDescent="0.25">
      <c r="A167" s="28">
        <f t="shared" si="2"/>
        <v>147</v>
      </c>
      <c r="B167" s="29" t="s">
        <v>265</v>
      </c>
      <c r="C167" s="29" t="s">
        <v>84</v>
      </c>
      <c r="D167" s="28" t="s">
        <v>15</v>
      </c>
      <c r="E167" s="28">
        <v>9630</v>
      </c>
      <c r="G167" s="17"/>
    </row>
    <row r="168" spans="1:7" s="5" customFormat="1" ht="18.75" x14ac:dyDescent="0.25">
      <c r="A168" s="28">
        <f t="shared" si="2"/>
        <v>148</v>
      </c>
      <c r="B168" s="29" t="s">
        <v>266</v>
      </c>
      <c r="C168" s="29" t="s">
        <v>86</v>
      </c>
      <c r="D168" s="28" t="s">
        <v>15</v>
      </c>
      <c r="E168" s="28">
        <v>11610</v>
      </c>
      <c r="G168" s="17"/>
    </row>
    <row r="169" spans="1:7" s="5" customFormat="1" ht="18.75" x14ac:dyDescent="0.25">
      <c r="A169" s="28">
        <f t="shared" si="2"/>
        <v>149</v>
      </c>
      <c r="B169" s="29" t="s">
        <v>267</v>
      </c>
      <c r="C169" s="29" t="s">
        <v>88</v>
      </c>
      <c r="D169" s="28" t="s">
        <v>15</v>
      </c>
      <c r="E169" s="28">
        <v>14490</v>
      </c>
      <c r="G169" s="17"/>
    </row>
    <row r="170" spans="1:7" s="5" customFormat="1" ht="18.75" x14ac:dyDescent="0.25">
      <c r="A170" s="28">
        <f t="shared" si="2"/>
        <v>150</v>
      </c>
      <c r="B170" s="29" t="s">
        <v>268</v>
      </c>
      <c r="C170" s="29" t="s">
        <v>90</v>
      </c>
      <c r="D170" s="28" t="s">
        <v>15</v>
      </c>
      <c r="E170" s="28">
        <v>9630</v>
      </c>
      <c r="G170" s="17"/>
    </row>
    <row r="171" spans="1:7" s="5" customFormat="1" ht="18.75" x14ac:dyDescent="0.25">
      <c r="A171" s="28">
        <f t="shared" si="2"/>
        <v>151</v>
      </c>
      <c r="B171" s="29" t="s">
        <v>269</v>
      </c>
      <c r="C171" s="29" t="s">
        <v>92</v>
      </c>
      <c r="D171" s="28" t="s">
        <v>15</v>
      </c>
      <c r="E171" s="28">
        <v>11610</v>
      </c>
      <c r="G171" s="17"/>
    </row>
    <row r="172" spans="1:7" s="5" customFormat="1" ht="18.75" x14ac:dyDescent="0.25">
      <c r="A172" s="28">
        <f t="shared" si="2"/>
        <v>152</v>
      </c>
      <c r="B172" s="29" t="s">
        <v>270</v>
      </c>
      <c r="C172" s="29" t="s">
        <v>94</v>
      </c>
      <c r="D172" s="28" t="s">
        <v>15</v>
      </c>
      <c r="E172" s="28">
        <v>14490</v>
      </c>
      <c r="G172" s="17"/>
    </row>
    <row r="173" spans="1:7" s="26" customFormat="1" ht="18.75" x14ac:dyDescent="0.25">
      <c r="A173" s="28">
        <f t="shared" si="2"/>
        <v>153</v>
      </c>
      <c r="B173" s="33" t="s">
        <v>271</v>
      </c>
      <c r="C173" s="33" t="s">
        <v>96</v>
      </c>
      <c r="D173" s="30" t="s">
        <v>15</v>
      </c>
      <c r="E173" s="28">
        <v>11610</v>
      </c>
      <c r="F173" s="5"/>
      <c r="G173" s="17"/>
    </row>
    <row r="174" spans="1:7" s="5" customFormat="1" ht="18.75" x14ac:dyDescent="0.25">
      <c r="A174" s="28">
        <f t="shared" si="2"/>
        <v>154</v>
      </c>
      <c r="B174" s="29" t="s">
        <v>272</v>
      </c>
      <c r="C174" s="29" t="s">
        <v>98</v>
      </c>
      <c r="D174" s="28" t="s">
        <v>15</v>
      </c>
      <c r="E174" s="28">
        <v>9630</v>
      </c>
      <c r="G174" s="17"/>
    </row>
    <row r="175" spans="1:7" s="5" customFormat="1" ht="18.75" x14ac:dyDescent="0.25">
      <c r="A175" s="28">
        <f t="shared" si="2"/>
        <v>155</v>
      </c>
      <c r="B175" s="29" t="s">
        <v>273</v>
      </c>
      <c r="C175" s="29" t="s">
        <v>100</v>
      </c>
      <c r="D175" s="28" t="s">
        <v>15</v>
      </c>
      <c r="E175" s="28">
        <v>11610</v>
      </c>
      <c r="G175" s="17"/>
    </row>
    <row r="176" spans="1:7" s="5" customFormat="1" ht="18.75" x14ac:dyDescent="0.25">
      <c r="A176" s="28">
        <f t="shared" si="2"/>
        <v>156</v>
      </c>
      <c r="B176" s="29" t="s">
        <v>274</v>
      </c>
      <c r="C176" s="29" t="s">
        <v>102</v>
      </c>
      <c r="D176" s="28" t="s">
        <v>15</v>
      </c>
      <c r="E176" s="28">
        <v>14490</v>
      </c>
      <c r="G176" s="17"/>
    </row>
    <row r="177" spans="1:7" s="5" customFormat="1" ht="18.75" x14ac:dyDescent="0.25">
      <c r="A177" s="28">
        <f t="shared" si="2"/>
        <v>157</v>
      </c>
      <c r="B177" s="29" t="s">
        <v>275</v>
      </c>
      <c r="C177" s="29" t="s">
        <v>104</v>
      </c>
      <c r="D177" s="28" t="s">
        <v>15</v>
      </c>
      <c r="E177" s="28">
        <v>9630</v>
      </c>
      <c r="G177" s="17"/>
    </row>
    <row r="178" spans="1:7" s="5" customFormat="1" ht="18.75" x14ac:dyDescent="0.25">
      <c r="A178" s="28">
        <f t="shared" si="2"/>
        <v>158</v>
      </c>
      <c r="B178" s="29" t="s">
        <v>276</v>
      </c>
      <c r="C178" s="29" t="s">
        <v>106</v>
      </c>
      <c r="D178" s="28" t="s">
        <v>15</v>
      </c>
      <c r="E178" s="28">
        <v>11610</v>
      </c>
      <c r="G178" s="17"/>
    </row>
    <row r="179" spans="1:7" s="5" customFormat="1" ht="18.75" x14ac:dyDescent="0.25">
      <c r="A179" s="28">
        <f t="shared" si="2"/>
        <v>159</v>
      </c>
      <c r="B179" s="29" t="s">
        <v>277</v>
      </c>
      <c r="C179" s="29" t="s">
        <v>108</v>
      </c>
      <c r="D179" s="28" t="s">
        <v>15</v>
      </c>
      <c r="E179" s="28">
        <v>14490</v>
      </c>
      <c r="G179" s="17"/>
    </row>
    <row r="180" spans="1:7" s="5" customFormat="1" ht="18.75" x14ac:dyDescent="0.25">
      <c r="A180" s="28">
        <f t="shared" si="2"/>
        <v>160</v>
      </c>
      <c r="B180" s="29" t="s">
        <v>278</v>
      </c>
      <c r="C180" s="29" t="s">
        <v>110</v>
      </c>
      <c r="D180" s="28" t="s">
        <v>15</v>
      </c>
      <c r="E180" s="28">
        <v>9630</v>
      </c>
      <c r="G180" s="17"/>
    </row>
    <row r="181" spans="1:7" s="5" customFormat="1" ht="18.75" x14ac:dyDescent="0.25">
      <c r="A181" s="28">
        <f t="shared" si="2"/>
        <v>161</v>
      </c>
      <c r="B181" s="29" t="s">
        <v>279</v>
      </c>
      <c r="C181" s="29" t="s">
        <v>112</v>
      </c>
      <c r="D181" s="28" t="s">
        <v>15</v>
      </c>
      <c r="E181" s="28">
        <v>11610</v>
      </c>
      <c r="G181" s="17"/>
    </row>
    <row r="182" spans="1:7" s="5" customFormat="1" ht="18.75" x14ac:dyDescent="0.25">
      <c r="A182" s="28">
        <f t="shared" si="2"/>
        <v>162</v>
      </c>
      <c r="B182" s="29" t="s">
        <v>280</v>
      </c>
      <c r="C182" s="29" t="s">
        <v>114</v>
      </c>
      <c r="D182" s="28" t="s">
        <v>15</v>
      </c>
      <c r="E182" s="28">
        <v>14490</v>
      </c>
      <c r="G182" s="17"/>
    </row>
    <row r="183" spans="1:7" s="5" customFormat="1" ht="18.75" x14ac:dyDescent="0.25">
      <c r="A183" s="28">
        <f t="shared" si="2"/>
        <v>163</v>
      </c>
      <c r="B183" s="29" t="s">
        <v>281</v>
      </c>
      <c r="C183" s="29" t="s">
        <v>116</v>
      </c>
      <c r="D183" s="28" t="s">
        <v>15</v>
      </c>
      <c r="E183" s="28">
        <v>9630</v>
      </c>
      <c r="G183" s="17"/>
    </row>
    <row r="184" spans="1:7" s="5" customFormat="1" ht="18.75" x14ac:dyDescent="0.25">
      <c r="A184" s="28">
        <f t="shared" si="2"/>
        <v>164</v>
      </c>
      <c r="B184" s="29" t="s">
        <v>282</v>
      </c>
      <c r="C184" s="29" t="s">
        <v>118</v>
      </c>
      <c r="D184" s="28" t="s">
        <v>15</v>
      </c>
      <c r="E184" s="28">
        <v>11610</v>
      </c>
      <c r="G184" s="17"/>
    </row>
    <row r="185" spans="1:7" s="5" customFormat="1" ht="18.75" x14ac:dyDescent="0.25">
      <c r="A185" s="28">
        <f t="shared" si="2"/>
        <v>165</v>
      </c>
      <c r="B185" s="29" t="s">
        <v>283</v>
      </c>
      <c r="C185" s="29" t="s">
        <v>120</v>
      </c>
      <c r="D185" s="28" t="s">
        <v>15</v>
      </c>
      <c r="E185" s="28">
        <v>14490</v>
      </c>
      <c r="G185" s="17"/>
    </row>
    <row r="186" spans="1:7" s="5" customFormat="1" ht="18.75" x14ac:dyDescent="0.25">
      <c r="A186" s="28">
        <f t="shared" si="2"/>
        <v>166</v>
      </c>
      <c r="B186" s="29" t="s">
        <v>284</v>
      </c>
      <c r="C186" s="29" t="s">
        <v>122</v>
      </c>
      <c r="D186" s="28" t="s">
        <v>15</v>
      </c>
      <c r="E186" s="28">
        <v>9630</v>
      </c>
      <c r="G186" s="17"/>
    </row>
    <row r="187" spans="1:7" s="5" customFormat="1" ht="18.75" x14ac:dyDescent="0.25">
      <c r="A187" s="28">
        <f t="shared" si="2"/>
        <v>167</v>
      </c>
      <c r="B187" s="29" t="s">
        <v>285</v>
      </c>
      <c r="C187" s="29" t="s">
        <v>124</v>
      </c>
      <c r="D187" s="28" t="s">
        <v>15</v>
      </c>
      <c r="E187" s="28">
        <v>11610</v>
      </c>
      <c r="G187" s="17"/>
    </row>
    <row r="188" spans="1:7" s="5" customFormat="1" ht="18.75" x14ac:dyDescent="0.25">
      <c r="A188" s="28">
        <f t="shared" si="2"/>
        <v>168</v>
      </c>
      <c r="B188" s="29" t="s">
        <v>286</v>
      </c>
      <c r="C188" s="29" t="s">
        <v>126</v>
      </c>
      <c r="D188" s="28" t="s">
        <v>15</v>
      </c>
      <c r="E188" s="28">
        <v>14490</v>
      </c>
      <c r="G188" s="17"/>
    </row>
    <row r="189" spans="1:7" s="5" customFormat="1" ht="18.75" x14ac:dyDescent="0.25">
      <c r="A189" s="28">
        <f t="shared" si="2"/>
        <v>169</v>
      </c>
      <c r="B189" s="29" t="s">
        <v>287</v>
      </c>
      <c r="C189" s="29" t="s">
        <v>128</v>
      </c>
      <c r="D189" s="28" t="s">
        <v>15</v>
      </c>
      <c r="E189" s="28">
        <v>9630</v>
      </c>
      <c r="G189" s="17"/>
    </row>
    <row r="190" spans="1:7" s="5" customFormat="1" ht="18.75" x14ac:dyDescent="0.25">
      <c r="A190" s="28">
        <f t="shared" si="2"/>
        <v>170</v>
      </c>
      <c r="B190" s="29" t="s">
        <v>288</v>
      </c>
      <c r="C190" s="29" t="s">
        <v>130</v>
      </c>
      <c r="D190" s="28" t="s">
        <v>15</v>
      </c>
      <c r="E190" s="28">
        <v>11610</v>
      </c>
      <c r="G190" s="17"/>
    </row>
    <row r="191" spans="1:7" s="5" customFormat="1" ht="18.75" x14ac:dyDescent="0.25">
      <c r="A191" s="28">
        <f t="shared" si="2"/>
        <v>171</v>
      </c>
      <c r="B191" s="29" t="s">
        <v>289</v>
      </c>
      <c r="C191" s="29" t="s">
        <v>132</v>
      </c>
      <c r="D191" s="28" t="s">
        <v>15</v>
      </c>
      <c r="E191" s="28">
        <v>14490</v>
      </c>
      <c r="G191" s="17"/>
    </row>
    <row r="192" spans="1:7" s="5" customFormat="1" ht="18.75" x14ac:dyDescent="0.25">
      <c r="A192" s="28">
        <f t="shared" si="2"/>
        <v>172</v>
      </c>
      <c r="B192" s="29" t="s">
        <v>290</v>
      </c>
      <c r="C192" s="29" t="s">
        <v>134</v>
      </c>
      <c r="D192" s="28" t="s">
        <v>15</v>
      </c>
      <c r="E192" s="28">
        <v>9630</v>
      </c>
      <c r="G192" s="17"/>
    </row>
    <row r="193" spans="1:7" s="5" customFormat="1" ht="18.75" x14ac:dyDescent="0.25">
      <c r="A193" s="28">
        <f t="shared" si="2"/>
        <v>173</v>
      </c>
      <c r="B193" s="29" t="s">
        <v>291</v>
      </c>
      <c r="C193" s="29" t="s">
        <v>136</v>
      </c>
      <c r="D193" s="28" t="s">
        <v>15</v>
      </c>
      <c r="E193" s="28">
        <v>11610</v>
      </c>
      <c r="G193" s="17"/>
    </row>
    <row r="194" spans="1:7" s="5" customFormat="1" ht="18.75" x14ac:dyDescent="0.25">
      <c r="A194" s="28">
        <f t="shared" si="2"/>
        <v>174</v>
      </c>
      <c r="B194" s="29" t="s">
        <v>292</v>
      </c>
      <c r="C194" s="29" t="s">
        <v>138</v>
      </c>
      <c r="D194" s="28" t="s">
        <v>15</v>
      </c>
      <c r="E194" s="28">
        <v>14490</v>
      </c>
      <c r="G194" s="17"/>
    </row>
    <row r="195" spans="1:7" s="5" customFormat="1" ht="18.75" x14ac:dyDescent="0.25">
      <c r="A195" s="28">
        <f t="shared" si="2"/>
        <v>175</v>
      </c>
      <c r="B195" s="29" t="s">
        <v>293</v>
      </c>
      <c r="C195" s="29" t="s">
        <v>158</v>
      </c>
      <c r="D195" s="28" t="s">
        <v>15</v>
      </c>
      <c r="E195" s="28">
        <v>9630</v>
      </c>
      <c r="G195" s="17"/>
    </row>
    <row r="196" spans="1:7" s="5" customFormat="1" ht="18.75" x14ac:dyDescent="0.25">
      <c r="A196" s="28">
        <f t="shared" si="2"/>
        <v>176</v>
      </c>
      <c r="B196" s="29" t="s">
        <v>294</v>
      </c>
      <c r="C196" s="29" t="s">
        <v>160</v>
      </c>
      <c r="D196" s="28" t="s">
        <v>15</v>
      </c>
      <c r="E196" s="28">
        <v>11610</v>
      </c>
      <c r="G196" s="17"/>
    </row>
    <row r="197" spans="1:7" s="5" customFormat="1" ht="18.75" x14ac:dyDescent="0.25">
      <c r="A197" s="28">
        <f t="shared" si="2"/>
        <v>177</v>
      </c>
      <c r="B197" s="29" t="s">
        <v>295</v>
      </c>
      <c r="C197" s="29" t="s">
        <v>162</v>
      </c>
      <c r="D197" s="28" t="s">
        <v>15</v>
      </c>
      <c r="E197" s="28">
        <v>14490</v>
      </c>
      <c r="G197" s="17"/>
    </row>
    <row r="198" spans="1:7" s="5" customFormat="1" ht="18.75" x14ac:dyDescent="0.25">
      <c r="A198" s="28">
        <f t="shared" si="2"/>
        <v>178</v>
      </c>
      <c r="B198" s="29" t="s">
        <v>296</v>
      </c>
      <c r="C198" s="29" t="s">
        <v>168</v>
      </c>
      <c r="D198" s="28" t="s">
        <v>15</v>
      </c>
      <c r="E198" s="28">
        <v>9630</v>
      </c>
      <c r="G198" s="17"/>
    </row>
    <row r="199" spans="1:7" s="5" customFormat="1" ht="18.75" x14ac:dyDescent="0.25">
      <c r="A199" s="28">
        <f t="shared" si="2"/>
        <v>179</v>
      </c>
      <c r="B199" s="29" t="s">
        <v>297</v>
      </c>
      <c r="C199" s="29" t="s">
        <v>170</v>
      </c>
      <c r="D199" s="28" t="s">
        <v>15</v>
      </c>
      <c r="E199" s="28">
        <v>11610</v>
      </c>
      <c r="G199" s="17"/>
    </row>
    <row r="200" spans="1:7" s="5" customFormat="1" ht="18.75" x14ac:dyDescent="0.25">
      <c r="A200" s="28">
        <f t="shared" si="2"/>
        <v>180</v>
      </c>
      <c r="B200" s="29" t="s">
        <v>298</v>
      </c>
      <c r="C200" s="29" t="s">
        <v>172</v>
      </c>
      <c r="D200" s="28" t="s">
        <v>15</v>
      </c>
      <c r="E200" s="28">
        <v>14490</v>
      </c>
      <c r="G200" s="17"/>
    </row>
    <row r="201" spans="1:7" s="5" customFormat="1" ht="18.75" x14ac:dyDescent="0.25">
      <c r="A201" s="28">
        <f t="shared" si="2"/>
        <v>181</v>
      </c>
      <c r="B201" s="29" t="s">
        <v>299</v>
      </c>
      <c r="C201" s="29" t="s">
        <v>152</v>
      </c>
      <c r="D201" s="28" t="s">
        <v>15</v>
      </c>
      <c r="E201" s="28">
        <v>9630</v>
      </c>
      <c r="G201" s="17"/>
    </row>
    <row r="202" spans="1:7" s="5" customFormat="1" ht="18.75" x14ac:dyDescent="0.25">
      <c r="A202" s="28">
        <f t="shared" si="2"/>
        <v>182</v>
      </c>
      <c r="B202" s="29" t="s">
        <v>300</v>
      </c>
      <c r="C202" s="29" t="s">
        <v>154</v>
      </c>
      <c r="D202" s="28" t="s">
        <v>15</v>
      </c>
      <c r="E202" s="28">
        <v>11610</v>
      </c>
      <c r="G202" s="17"/>
    </row>
    <row r="203" spans="1:7" s="5" customFormat="1" ht="18.75" x14ac:dyDescent="0.25">
      <c r="A203" s="28">
        <f t="shared" si="2"/>
        <v>183</v>
      </c>
      <c r="B203" s="29" t="s">
        <v>301</v>
      </c>
      <c r="C203" s="29" t="s">
        <v>156</v>
      </c>
      <c r="D203" s="28" t="s">
        <v>15</v>
      </c>
      <c r="E203" s="28">
        <v>14490</v>
      </c>
      <c r="G203" s="17"/>
    </row>
    <row r="204" spans="1:7" s="116" customFormat="1" ht="18.75" x14ac:dyDescent="0.25">
      <c r="A204" s="28">
        <f t="shared" si="2"/>
        <v>184</v>
      </c>
      <c r="B204" s="29" t="s">
        <v>3129</v>
      </c>
      <c r="C204" s="29" t="s">
        <v>3168</v>
      </c>
      <c r="D204" s="28" t="s">
        <v>15</v>
      </c>
      <c r="E204" s="28">
        <v>11610</v>
      </c>
      <c r="G204" s="17"/>
    </row>
    <row r="205" spans="1:7" s="5" customFormat="1" ht="18.75" x14ac:dyDescent="0.25">
      <c r="A205" s="28">
        <f t="shared" si="2"/>
        <v>185</v>
      </c>
      <c r="B205" s="29" t="s">
        <v>302</v>
      </c>
      <c r="C205" s="29" t="s">
        <v>164</v>
      </c>
      <c r="D205" s="28" t="s">
        <v>15</v>
      </c>
      <c r="E205" s="28">
        <v>11610</v>
      </c>
      <c r="G205" s="17"/>
    </row>
    <row r="206" spans="1:7" s="5" customFormat="1" ht="18.75" x14ac:dyDescent="0.25">
      <c r="A206" s="28">
        <f t="shared" si="2"/>
        <v>186</v>
      </c>
      <c r="B206" s="29" t="s">
        <v>303</v>
      </c>
      <c r="C206" s="29" t="s">
        <v>166</v>
      </c>
      <c r="D206" s="28" t="s">
        <v>15</v>
      </c>
      <c r="E206" s="28">
        <v>14490</v>
      </c>
      <c r="G206" s="17"/>
    </row>
    <row r="207" spans="1:7" s="5" customFormat="1" ht="25.5" x14ac:dyDescent="0.25">
      <c r="A207" s="28">
        <f t="shared" si="2"/>
        <v>187</v>
      </c>
      <c r="B207" s="29" t="s">
        <v>304</v>
      </c>
      <c r="C207" s="29" t="s">
        <v>174</v>
      </c>
      <c r="D207" s="28" t="s">
        <v>15</v>
      </c>
      <c r="E207" s="28">
        <v>9630</v>
      </c>
      <c r="G207" s="17"/>
    </row>
    <row r="208" spans="1:7" s="5" customFormat="1" ht="25.5" x14ac:dyDescent="0.25">
      <c r="A208" s="28">
        <f t="shared" si="2"/>
        <v>188</v>
      </c>
      <c r="B208" s="29" t="s">
        <v>305</v>
      </c>
      <c r="C208" s="29" t="s">
        <v>176</v>
      </c>
      <c r="D208" s="28" t="s">
        <v>15</v>
      </c>
      <c r="E208" s="28">
        <v>11610</v>
      </c>
      <c r="G208" s="17"/>
    </row>
    <row r="209" spans="1:7" s="5" customFormat="1" ht="25.5" x14ac:dyDescent="0.25">
      <c r="A209" s="28">
        <f t="shared" si="2"/>
        <v>189</v>
      </c>
      <c r="B209" s="29" t="s">
        <v>306</v>
      </c>
      <c r="C209" s="29" t="s">
        <v>178</v>
      </c>
      <c r="D209" s="28" t="s">
        <v>15</v>
      </c>
      <c r="E209" s="28">
        <v>14490</v>
      </c>
      <c r="G209" s="17"/>
    </row>
    <row r="210" spans="1:7" s="5" customFormat="1" ht="18.75" x14ac:dyDescent="0.25">
      <c r="A210" s="28">
        <f t="shared" si="2"/>
        <v>190</v>
      </c>
      <c r="B210" s="29" t="s">
        <v>307</v>
      </c>
      <c r="C210" s="29" t="s">
        <v>180</v>
      </c>
      <c r="D210" s="28" t="s">
        <v>15</v>
      </c>
      <c r="E210" s="28">
        <v>9630</v>
      </c>
      <c r="G210" s="17"/>
    </row>
    <row r="211" spans="1:7" s="5" customFormat="1" ht="18.75" x14ac:dyDescent="0.25">
      <c r="A211" s="28">
        <f t="shared" si="2"/>
        <v>191</v>
      </c>
      <c r="B211" s="29" t="s">
        <v>308</v>
      </c>
      <c r="C211" s="29" t="s">
        <v>182</v>
      </c>
      <c r="D211" s="28" t="s">
        <v>15</v>
      </c>
      <c r="E211" s="28">
        <v>11610</v>
      </c>
      <c r="G211" s="17"/>
    </row>
    <row r="212" spans="1:7" s="5" customFormat="1" ht="18.75" x14ac:dyDescent="0.25">
      <c r="A212" s="28">
        <f t="shared" si="2"/>
        <v>192</v>
      </c>
      <c r="B212" s="29" t="s">
        <v>309</v>
      </c>
      <c r="C212" s="29" t="s">
        <v>184</v>
      </c>
      <c r="D212" s="28" t="s">
        <v>15</v>
      </c>
      <c r="E212" s="28">
        <v>14490</v>
      </c>
      <c r="G212" s="17"/>
    </row>
    <row r="213" spans="1:7" s="5" customFormat="1" ht="18.75" x14ac:dyDescent="0.25">
      <c r="A213" s="28">
        <f t="shared" si="2"/>
        <v>193</v>
      </c>
      <c r="B213" s="29" t="s">
        <v>310</v>
      </c>
      <c r="C213" s="29" t="s">
        <v>140</v>
      </c>
      <c r="D213" s="28" t="s">
        <v>15</v>
      </c>
      <c r="E213" s="28">
        <v>9630</v>
      </c>
      <c r="G213" s="17"/>
    </row>
    <row r="214" spans="1:7" s="5" customFormat="1" ht="18.75" x14ac:dyDescent="0.25">
      <c r="A214" s="28">
        <f t="shared" ref="A214:A250" si="3">A213+1</f>
        <v>194</v>
      </c>
      <c r="B214" s="29" t="s">
        <v>311</v>
      </c>
      <c r="C214" s="29" t="s">
        <v>142</v>
      </c>
      <c r="D214" s="28" t="s">
        <v>15</v>
      </c>
      <c r="E214" s="28">
        <v>11610</v>
      </c>
      <c r="G214" s="17"/>
    </row>
    <row r="215" spans="1:7" s="5" customFormat="1" ht="18.75" x14ac:dyDescent="0.25">
      <c r="A215" s="28">
        <f t="shared" si="3"/>
        <v>195</v>
      </c>
      <c r="B215" s="29" t="s">
        <v>312</v>
      </c>
      <c r="C215" s="29" t="s">
        <v>144</v>
      </c>
      <c r="D215" s="28" t="s">
        <v>15</v>
      </c>
      <c r="E215" s="28">
        <v>14490</v>
      </c>
      <c r="G215" s="17"/>
    </row>
    <row r="216" spans="1:7" s="5" customFormat="1" ht="18.75" x14ac:dyDescent="0.25">
      <c r="A216" s="28">
        <f t="shared" si="3"/>
        <v>196</v>
      </c>
      <c r="B216" s="29" t="s">
        <v>313</v>
      </c>
      <c r="C216" s="29" t="s">
        <v>146</v>
      </c>
      <c r="D216" s="28" t="s">
        <v>15</v>
      </c>
      <c r="E216" s="28">
        <v>9630</v>
      </c>
      <c r="G216" s="17"/>
    </row>
    <row r="217" spans="1:7" s="5" customFormat="1" ht="18.75" x14ac:dyDescent="0.25">
      <c r="A217" s="28">
        <f t="shared" si="3"/>
        <v>197</v>
      </c>
      <c r="B217" s="29" t="s">
        <v>314</v>
      </c>
      <c r="C217" s="29" t="s">
        <v>148</v>
      </c>
      <c r="D217" s="28" t="s">
        <v>15</v>
      </c>
      <c r="E217" s="28">
        <v>11610</v>
      </c>
      <c r="G217" s="17"/>
    </row>
    <row r="218" spans="1:7" s="5" customFormat="1" ht="18.75" x14ac:dyDescent="0.25">
      <c r="A218" s="28">
        <f t="shared" si="3"/>
        <v>198</v>
      </c>
      <c r="B218" s="29" t="s">
        <v>315</v>
      </c>
      <c r="C218" s="29" t="s">
        <v>150</v>
      </c>
      <c r="D218" s="28" t="s">
        <v>15</v>
      </c>
      <c r="E218" s="28">
        <v>14490</v>
      </c>
      <c r="G218" s="17"/>
    </row>
    <row r="219" spans="1:7" s="5" customFormat="1" ht="18.75" x14ac:dyDescent="0.25">
      <c r="A219" s="28">
        <f t="shared" si="3"/>
        <v>199</v>
      </c>
      <c r="B219" s="29" t="s">
        <v>316</v>
      </c>
      <c r="C219" s="29" t="s">
        <v>186</v>
      </c>
      <c r="D219" s="28" t="s">
        <v>15</v>
      </c>
      <c r="E219" s="28">
        <v>9630</v>
      </c>
      <c r="G219" s="17"/>
    </row>
    <row r="220" spans="1:7" s="5" customFormat="1" ht="18.75" x14ac:dyDescent="0.25">
      <c r="A220" s="28">
        <f t="shared" si="3"/>
        <v>200</v>
      </c>
      <c r="B220" s="29" t="s">
        <v>317</v>
      </c>
      <c r="C220" s="29" t="s">
        <v>176</v>
      </c>
      <c r="D220" s="28" t="s">
        <v>15</v>
      </c>
      <c r="E220" s="28">
        <v>11610</v>
      </c>
      <c r="G220" s="17"/>
    </row>
    <row r="221" spans="1:7" s="5" customFormat="1" ht="18.75" x14ac:dyDescent="0.25">
      <c r="A221" s="28">
        <f t="shared" si="3"/>
        <v>201</v>
      </c>
      <c r="B221" s="29" t="s">
        <v>318</v>
      </c>
      <c r="C221" s="29" t="s">
        <v>178</v>
      </c>
      <c r="D221" s="28" t="s">
        <v>15</v>
      </c>
      <c r="E221" s="28">
        <v>14490</v>
      </c>
      <c r="G221" s="17"/>
    </row>
    <row r="222" spans="1:7" s="5" customFormat="1" ht="18.75" x14ac:dyDescent="0.25">
      <c r="A222" s="28">
        <f t="shared" si="3"/>
        <v>202</v>
      </c>
      <c r="B222" s="29" t="s">
        <v>319</v>
      </c>
      <c r="C222" s="29" t="s">
        <v>192</v>
      </c>
      <c r="D222" s="28" t="s">
        <v>15</v>
      </c>
      <c r="E222" s="28">
        <v>9630</v>
      </c>
      <c r="G222" s="17"/>
    </row>
    <row r="223" spans="1:7" s="5" customFormat="1" ht="18.75" x14ac:dyDescent="0.25">
      <c r="A223" s="28">
        <f t="shared" si="3"/>
        <v>203</v>
      </c>
      <c r="B223" s="29" t="s">
        <v>320</v>
      </c>
      <c r="C223" s="29" t="s">
        <v>194</v>
      </c>
      <c r="D223" s="28" t="s">
        <v>15</v>
      </c>
      <c r="E223" s="28">
        <v>11610</v>
      </c>
      <c r="G223" s="17"/>
    </row>
    <row r="224" spans="1:7" s="5" customFormat="1" ht="18.75" x14ac:dyDescent="0.25">
      <c r="A224" s="28">
        <f t="shared" si="3"/>
        <v>204</v>
      </c>
      <c r="B224" s="29" t="s">
        <v>321</v>
      </c>
      <c r="C224" s="29" t="s">
        <v>196</v>
      </c>
      <c r="D224" s="28" t="s">
        <v>15</v>
      </c>
      <c r="E224" s="28">
        <v>14490</v>
      </c>
      <c r="G224" s="17"/>
    </row>
    <row r="225" spans="1:7" s="5" customFormat="1" ht="18.75" x14ac:dyDescent="0.25">
      <c r="A225" s="28">
        <f t="shared" si="3"/>
        <v>205</v>
      </c>
      <c r="B225" s="29" t="s">
        <v>322</v>
      </c>
      <c r="C225" s="29" t="s">
        <v>192</v>
      </c>
      <c r="D225" s="28" t="s">
        <v>15</v>
      </c>
      <c r="E225" s="28">
        <v>9630</v>
      </c>
      <c r="G225" s="17"/>
    </row>
    <row r="226" spans="1:7" s="5" customFormat="1" ht="18.75" x14ac:dyDescent="0.25">
      <c r="A226" s="28">
        <f t="shared" si="3"/>
        <v>206</v>
      </c>
      <c r="B226" s="29" t="s">
        <v>323</v>
      </c>
      <c r="C226" s="29" t="s">
        <v>194</v>
      </c>
      <c r="D226" s="28" t="s">
        <v>15</v>
      </c>
      <c r="E226" s="28">
        <v>11610</v>
      </c>
      <c r="G226" s="17"/>
    </row>
    <row r="227" spans="1:7" s="5" customFormat="1" ht="18.75" x14ac:dyDescent="0.25">
      <c r="A227" s="28">
        <f t="shared" si="3"/>
        <v>207</v>
      </c>
      <c r="B227" s="29" t="s">
        <v>324</v>
      </c>
      <c r="C227" s="29" t="s">
        <v>196</v>
      </c>
      <c r="D227" s="28" t="s">
        <v>15</v>
      </c>
      <c r="E227" s="28">
        <v>14490</v>
      </c>
      <c r="G227" s="17"/>
    </row>
    <row r="228" spans="1:7" s="5" customFormat="1" ht="25.5" x14ac:dyDescent="0.25">
      <c r="A228" s="28">
        <f t="shared" si="3"/>
        <v>208</v>
      </c>
      <c r="B228" s="29" t="s">
        <v>325</v>
      </c>
      <c r="C228" s="29" t="s">
        <v>210</v>
      </c>
      <c r="D228" s="28" t="s">
        <v>15</v>
      </c>
      <c r="E228" s="28">
        <v>9630</v>
      </c>
      <c r="G228" s="17"/>
    </row>
    <row r="229" spans="1:7" s="5" customFormat="1" ht="25.5" x14ac:dyDescent="0.25">
      <c r="A229" s="28">
        <f t="shared" si="3"/>
        <v>209</v>
      </c>
      <c r="B229" s="29" t="s">
        <v>326</v>
      </c>
      <c r="C229" s="29" t="s">
        <v>212</v>
      </c>
      <c r="D229" s="28" t="s">
        <v>15</v>
      </c>
      <c r="E229" s="28">
        <v>11610</v>
      </c>
      <c r="G229" s="17"/>
    </row>
    <row r="230" spans="1:7" s="5" customFormat="1" ht="25.5" x14ac:dyDescent="0.25">
      <c r="A230" s="28">
        <f t="shared" si="3"/>
        <v>210</v>
      </c>
      <c r="B230" s="29" t="s">
        <v>327</v>
      </c>
      <c r="C230" s="29" t="s">
        <v>214</v>
      </c>
      <c r="D230" s="28" t="s">
        <v>15</v>
      </c>
      <c r="E230" s="28">
        <v>14490</v>
      </c>
      <c r="G230" s="17"/>
    </row>
    <row r="231" spans="1:7" s="5" customFormat="1" ht="18.75" x14ac:dyDescent="0.25">
      <c r="A231" s="28">
        <f t="shared" si="3"/>
        <v>211</v>
      </c>
      <c r="B231" s="29" t="s">
        <v>328</v>
      </c>
      <c r="C231" s="29" t="s">
        <v>204</v>
      </c>
      <c r="D231" s="28" t="s">
        <v>15</v>
      </c>
      <c r="E231" s="28">
        <v>9630</v>
      </c>
      <c r="G231" s="17"/>
    </row>
    <row r="232" spans="1:7" s="5" customFormat="1" ht="18.75" x14ac:dyDescent="0.25">
      <c r="A232" s="28">
        <f t="shared" si="3"/>
        <v>212</v>
      </c>
      <c r="B232" s="29" t="s">
        <v>329</v>
      </c>
      <c r="C232" s="29" t="s">
        <v>206</v>
      </c>
      <c r="D232" s="28" t="s">
        <v>15</v>
      </c>
      <c r="E232" s="28">
        <v>11610</v>
      </c>
      <c r="G232" s="17"/>
    </row>
    <row r="233" spans="1:7" s="5" customFormat="1" ht="18.75" x14ac:dyDescent="0.25">
      <c r="A233" s="28">
        <f t="shared" si="3"/>
        <v>213</v>
      </c>
      <c r="B233" s="29" t="s">
        <v>330</v>
      </c>
      <c r="C233" s="29" t="s">
        <v>208</v>
      </c>
      <c r="D233" s="28" t="s">
        <v>15</v>
      </c>
      <c r="E233" s="28">
        <v>14490</v>
      </c>
      <c r="G233" s="17"/>
    </row>
    <row r="234" spans="1:7" s="5" customFormat="1" ht="24" customHeight="1" x14ac:dyDescent="0.25">
      <c r="A234" s="28">
        <f t="shared" si="3"/>
        <v>214</v>
      </c>
      <c r="B234" s="29" t="s">
        <v>331</v>
      </c>
      <c r="C234" s="29" t="s">
        <v>216</v>
      </c>
      <c r="D234" s="28" t="s">
        <v>15</v>
      </c>
      <c r="E234" s="28">
        <v>11610</v>
      </c>
      <c r="G234" s="17"/>
    </row>
    <row r="235" spans="1:7" s="5" customFormat="1" ht="24" customHeight="1" x14ac:dyDescent="0.25">
      <c r="A235" s="28">
        <f t="shared" si="3"/>
        <v>215</v>
      </c>
      <c r="B235" s="29" t="s">
        <v>332</v>
      </c>
      <c r="C235" s="29" t="s">
        <v>218</v>
      </c>
      <c r="D235" s="28" t="s">
        <v>15</v>
      </c>
      <c r="E235" s="28">
        <v>11610</v>
      </c>
      <c r="G235" s="17"/>
    </row>
    <row r="236" spans="1:7" s="5" customFormat="1" ht="25.5" customHeight="1" x14ac:dyDescent="0.25">
      <c r="A236" s="28">
        <f t="shared" si="3"/>
        <v>216</v>
      </c>
      <c r="B236" s="29" t="s">
        <v>333</v>
      </c>
      <c r="C236" s="29" t="s">
        <v>220</v>
      </c>
      <c r="D236" s="28" t="s">
        <v>15</v>
      </c>
      <c r="E236" s="28">
        <v>14490</v>
      </c>
      <c r="G236" s="17"/>
    </row>
    <row r="237" spans="1:7" s="5" customFormat="1" ht="21.75" customHeight="1" x14ac:dyDescent="0.25">
      <c r="A237" s="28">
        <f t="shared" si="3"/>
        <v>217</v>
      </c>
      <c r="B237" s="29" t="s">
        <v>334</v>
      </c>
      <c r="C237" s="29" t="s">
        <v>216</v>
      </c>
      <c r="D237" s="28" t="s">
        <v>15</v>
      </c>
      <c r="E237" s="28">
        <v>9630</v>
      </c>
      <c r="G237" s="17"/>
    </row>
    <row r="238" spans="1:7" s="5" customFormat="1" ht="21.75" customHeight="1" x14ac:dyDescent="0.25">
      <c r="A238" s="28">
        <f t="shared" si="3"/>
        <v>218</v>
      </c>
      <c r="B238" s="29" t="s">
        <v>335</v>
      </c>
      <c r="C238" s="29" t="s">
        <v>218</v>
      </c>
      <c r="D238" s="28" t="s">
        <v>15</v>
      </c>
      <c r="E238" s="28">
        <v>11610</v>
      </c>
      <c r="G238" s="17"/>
    </row>
    <row r="239" spans="1:7" s="5" customFormat="1" ht="21.75" customHeight="1" x14ac:dyDescent="0.25">
      <c r="A239" s="28">
        <f t="shared" si="3"/>
        <v>219</v>
      </c>
      <c r="B239" s="29" t="s">
        <v>336</v>
      </c>
      <c r="C239" s="29" t="s">
        <v>220</v>
      </c>
      <c r="D239" s="28" t="s">
        <v>15</v>
      </c>
      <c r="E239" s="28">
        <v>14490</v>
      </c>
      <c r="G239" s="17"/>
    </row>
    <row r="240" spans="1:7" s="5" customFormat="1" ht="21.75" customHeight="1" x14ac:dyDescent="0.25">
      <c r="A240" s="28">
        <f t="shared" si="3"/>
        <v>220</v>
      </c>
      <c r="B240" s="29" t="s">
        <v>337</v>
      </c>
      <c r="C240" s="29" t="s">
        <v>36</v>
      </c>
      <c r="D240" s="28" t="s">
        <v>15</v>
      </c>
      <c r="E240" s="28">
        <v>9630</v>
      </c>
      <c r="G240" s="17"/>
    </row>
    <row r="241" spans="1:7" s="5" customFormat="1" ht="21.75" customHeight="1" x14ac:dyDescent="0.25">
      <c r="A241" s="28">
        <f t="shared" si="3"/>
        <v>221</v>
      </c>
      <c r="B241" s="29" t="s">
        <v>338</v>
      </c>
      <c r="C241" s="29" t="s">
        <v>38</v>
      </c>
      <c r="D241" s="28" t="s">
        <v>15</v>
      </c>
      <c r="E241" s="28">
        <v>11610</v>
      </c>
      <c r="G241" s="17"/>
    </row>
    <row r="242" spans="1:7" s="5" customFormat="1" ht="21.75" customHeight="1" x14ac:dyDescent="0.25">
      <c r="A242" s="28">
        <f t="shared" si="3"/>
        <v>222</v>
      </c>
      <c r="B242" s="29" t="s">
        <v>339</v>
      </c>
      <c r="C242" s="29" t="s">
        <v>40</v>
      </c>
      <c r="D242" s="28" t="s">
        <v>15</v>
      </c>
      <c r="E242" s="28">
        <v>14490</v>
      </c>
      <c r="G242" s="17"/>
    </row>
    <row r="243" spans="1:7" s="5" customFormat="1" ht="27" customHeight="1" x14ac:dyDescent="0.25">
      <c r="A243" s="28">
        <f t="shared" si="3"/>
        <v>223</v>
      </c>
      <c r="B243" s="29" t="s">
        <v>340</v>
      </c>
      <c r="C243" s="29" t="s">
        <v>341</v>
      </c>
      <c r="D243" s="28" t="s">
        <v>15</v>
      </c>
      <c r="E243" s="28">
        <v>19320</v>
      </c>
      <c r="G243" s="17"/>
    </row>
    <row r="244" spans="1:7" s="5" customFormat="1" ht="25.5" x14ac:dyDescent="0.25">
      <c r="A244" s="28">
        <f t="shared" si="3"/>
        <v>224</v>
      </c>
      <c r="B244" s="29" t="s">
        <v>342</v>
      </c>
      <c r="C244" s="29" t="s">
        <v>341</v>
      </c>
      <c r="D244" s="28" t="s">
        <v>15</v>
      </c>
      <c r="E244" s="28">
        <v>14490</v>
      </c>
      <c r="G244" s="17"/>
    </row>
    <row r="245" spans="1:7" s="5" customFormat="1" ht="18.75" x14ac:dyDescent="0.25">
      <c r="A245" s="28">
        <f t="shared" si="3"/>
        <v>225</v>
      </c>
      <c r="B245" s="29" t="s">
        <v>343</v>
      </c>
      <c r="C245" s="29" t="s">
        <v>344</v>
      </c>
      <c r="D245" s="28" t="s">
        <v>15</v>
      </c>
      <c r="E245" s="28">
        <v>57840</v>
      </c>
      <c r="G245" s="17"/>
    </row>
    <row r="246" spans="1:7" s="5" customFormat="1" ht="18.75" x14ac:dyDescent="0.25">
      <c r="A246" s="28">
        <f t="shared" si="3"/>
        <v>226</v>
      </c>
      <c r="B246" s="29" t="s">
        <v>345</v>
      </c>
      <c r="C246" s="29" t="s">
        <v>344</v>
      </c>
      <c r="D246" s="28" t="s">
        <v>15</v>
      </c>
      <c r="E246" s="28">
        <v>43380</v>
      </c>
      <c r="G246" s="17"/>
    </row>
    <row r="247" spans="1:7" s="5" customFormat="1" ht="18.75" x14ac:dyDescent="0.25">
      <c r="A247" s="28">
        <f t="shared" si="3"/>
        <v>227</v>
      </c>
      <c r="B247" s="33" t="s">
        <v>346</v>
      </c>
      <c r="C247" s="33"/>
      <c r="D247" s="30" t="s">
        <v>15</v>
      </c>
      <c r="E247" s="28">
        <v>45000</v>
      </c>
      <c r="G247" s="17"/>
    </row>
    <row r="248" spans="1:7" s="5" customFormat="1" ht="18.75" x14ac:dyDescent="0.25">
      <c r="A248" s="28">
        <f t="shared" si="3"/>
        <v>228</v>
      </c>
      <c r="B248" s="33" t="s">
        <v>347</v>
      </c>
      <c r="C248" s="33"/>
      <c r="D248" s="30" t="s">
        <v>15</v>
      </c>
      <c r="E248" s="28">
        <v>33750</v>
      </c>
      <c r="G248" s="17"/>
    </row>
    <row r="249" spans="1:7" s="5" customFormat="1" ht="18.75" x14ac:dyDescent="0.25">
      <c r="A249" s="28">
        <f t="shared" si="3"/>
        <v>229</v>
      </c>
      <c r="B249" s="29" t="s">
        <v>348</v>
      </c>
      <c r="C249" s="29" t="s">
        <v>349</v>
      </c>
      <c r="D249" s="28" t="s">
        <v>15</v>
      </c>
      <c r="E249" s="28">
        <v>15480</v>
      </c>
      <c r="G249" s="17"/>
    </row>
    <row r="250" spans="1:7" s="5" customFormat="1" ht="26.25" customHeight="1" x14ac:dyDescent="0.25">
      <c r="A250" s="28">
        <f t="shared" si="3"/>
        <v>230</v>
      </c>
      <c r="B250" s="29" t="s">
        <v>350</v>
      </c>
      <c r="C250" s="29" t="s">
        <v>349</v>
      </c>
      <c r="D250" s="28" t="s">
        <v>15</v>
      </c>
      <c r="E250" s="28">
        <v>11610</v>
      </c>
      <c r="G250" s="17"/>
    </row>
    <row r="251" spans="1:7" s="116" customFormat="1" ht="26.25" customHeight="1" x14ac:dyDescent="0.25">
      <c r="A251" s="139" t="s">
        <v>3210</v>
      </c>
      <c r="B251" s="159"/>
      <c r="C251" s="159"/>
      <c r="D251" s="159"/>
      <c r="E251" s="160"/>
      <c r="G251" s="17"/>
    </row>
    <row r="252" spans="1:7" s="116" customFormat="1" ht="33.75" customHeight="1" x14ac:dyDescent="0.25">
      <c r="A252" s="28">
        <f>A250+1</f>
        <v>231</v>
      </c>
      <c r="B252" s="29" t="s">
        <v>3192</v>
      </c>
      <c r="C252" s="29" t="s">
        <v>2977</v>
      </c>
      <c r="D252" s="28" t="s">
        <v>15</v>
      </c>
      <c r="E252" s="28">
        <v>25800</v>
      </c>
      <c r="G252" s="17"/>
    </row>
    <row r="253" spans="1:7" s="116" customFormat="1" ht="33.75" customHeight="1" x14ac:dyDescent="0.25">
      <c r="A253" s="28">
        <f>A252+1</f>
        <v>232</v>
      </c>
      <c r="B253" s="29" t="s">
        <v>3193</v>
      </c>
      <c r="C253" s="29" t="s">
        <v>2979</v>
      </c>
      <c r="D253" s="28" t="s">
        <v>15</v>
      </c>
      <c r="E253" s="28">
        <v>19350</v>
      </c>
      <c r="G253" s="17"/>
    </row>
    <row r="254" spans="1:7" s="116" customFormat="1" ht="33.75" customHeight="1" x14ac:dyDescent="0.25">
      <c r="A254" s="28">
        <f t="shared" ref="A254:A277" si="4">A253+1</f>
        <v>233</v>
      </c>
      <c r="B254" s="29" t="s">
        <v>3147</v>
      </c>
      <c r="C254" s="29" t="s">
        <v>3148</v>
      </c>
      <c r="D254" s="28" t="s">
        <v>15</v>
      </c>
      <c r="E254" s="28">
        <v>20640</v>
      </c>
      <c r="G254" s="17"/>
    </row>
    <row r="255" spans="1:7" s="116" customFormat="1" ht="33.75" customHeight="1" x14ac:dyDescent="0.25">
      <c r="A255" s="28">
        <f t="shared" si="4"/>
        <v>234</v>
      </c>
      <c r="B255" s="29" t="s">
        <v>3149</v>
      </c>
      <c r="C255" s="29" t="s">
        <v>3150</v>
      </c>
      <c r="D255" s="28" t="s">
        <v>15</v>
      </c>
      <c r="E255" s="28">
        <v>15480</v>
      </c>
      <c r="G255" s="17"/>
    </row>
    <row r="256" spans="1:7" s="116" customFormat="1" ht="33.75" customHeight="1" x14ac:dyDescent="0.25">
      <c r="A256" s="28">
        <f t="shared" si="4"/>
        <v>235</v>
      </c>
      <c r="B256" s="29" t="s">
        <v>3194</v>
      </c>
      <c r="C256" s="29" t="s">
        <v>84</v>
      </c>
      <c r="D256" s="28" t="s">
        <v>15</v>
      </c>
      <c r="E256" s="28">
        <v>15480</v>
      </c>
      <c r="G256" s="17"/>
    </row>
    <row r="257" spans="1:7" s="116" customFormat="1" ht="33.75" customHeight="1" x14ac:dyDescent="0.25">
      <c r="A257" s="28">
        <f t="shared" si="4"/>
        <v>236</v>
      </c>
      <c r="B257" s="29" t="s">
        <v>3195</v>
      </c>
      <c r="C257" s="29" t="s">
        <v>84</v>
      </c>
      <c r="D257" s="28" t="s">
        <v>15</v>
      </c>
      <c r="E257" s="28">
        <v>11610</v>
      </c>
      <c r="G257" s="17"/>
    </row>
    <row r="258" spans="1:7" s="116" customFormat="1" ht="33.75" customHeight="1" x14ac:dyDescent="0.25">
      <c r="A258" s="28">
        <f t="shared" si="4"/>
        <v>237</v>
      </c>
      <c r="B258" s="29" t="s">
        <v>3198</v>
      </c>
      <c r="C258" s="29" t="s">
        <v>54</v>
      </c>
      <c r="D258" s="28" t="s">
        <v>15</v>
      </c>
      <c r="E258" s="28">
        <v>20640</v>
      </c>
      <c r="G258" s="17"/>
    </row>
    <row r="259" spans="1:7" s="116" customFormat="1" ht="33.75" customHeight="1" x14ac:dyDescent="0.25">
      <c r="A259" s="28">
        <f t="shared" si="4"/>
        <v>238</v>
      </c>
      <c r="B259" s="29" t="s">
        <v>3199</v>
      </c>
      <c r="C259" s="29" t="s">
        <v>54</v>
      </c>
      <c r="D259" s="28" t="s">
        <v>15</v>
      </c>
      <c r="E259" s="28">
        <v>15480</v>
      </c>
      <c r="G259" s="17"/>
    </row>
    <row r="260" spans="1:7" s="116" customFormat="1" ht="33.75" customHeight="1" x14ac:dyDescent="0.25">
      <c r="A260" s="28">
        <f t="shared" si="4"/>
        <v>239</v>
      </c>
      <c r="B260" s="29" t="s">
        <v>3202</v>
      </c>
      <c r="C260" s="29" t="s">
        <v>3002</v>
      </c>
      <c r="D260" s="28" t="s">
        <v>15</v>
      </c>
      <c r="E260" s="28">
        <v>12480</v>
      </c>
      <c r="G260" s="17"/>
    </row>
    <row r="261" spans="1:7" s="116" customFormat="1" ht="33.75" customHeight="1" x14ac:dyDescent="0.25">
      <c r="A261" s="28">
        <f t="shared" si="4"/>
        <v>240</v>
      </c>
      <c r="B261" s="29" t="s">
        <v>3203</v>
      </c>
      <c r="C261" s="29" t="s">
        <v>3002</v>
      </c>
      <c r="D261" s="28" t="s">
        <v>15</v>
      </c>
      <c r="E261" s="28">
        <v>9360</v>
      </c>
      <c r="G261" s="17"/>
    </row>
    <row r="262" spans="1:7" s="116" customFormat="1" ht="33.75" customHeight="1" x14ac:dyDescent="0.25">
      <c r="A262" s="28">
        <f t="shared" si="4"/>
        <v>241</v>
      </c>
      <c r="B262" s="29" t="s">
        <v>3224</v>
      </c>
      <c r="C262" s="29" t="s">
        <v>2991</v>
      </c>
      <c r="D262" s="28" t="s">
        <v>15</v>
      </c>
      <c r="E262" s="28">
        <v>15480</v>
      </c>
      <c r="G262" s="17"/>
    </row>
    <row r="263" spans="1:7" s="116" customFormat="1" ht="33.75" customHeight="1" x14ac:dyDescent="0.25">
      <c r="A263" s="28">
        <f t="shared" si="4"/>
        <v>242</v>
      </c>
      <c r="B263" s="29" t="s">
        <v>3225</v>
      </c>
      <c r="C263" s="29" t="s">
        <v>2991</v>
      </c>
      <c r="D263" s="28" t="s">
        <v>15</v>
      </c>
      <c r="E263" s="28">
        <v>11640</v>
      </c>
      <c r="G263" s="17"/>
    </row>
    <row r="264" spans="1:7" s="116" customFormat="1" ht="33.75" customHeight="1" x14ac:dyDescent="0.25">
      <c r="A264" s="28">
        <f t="shared" si="4"/>
        <v>243</v>
      </c>
      <c r="B264" s="29" t="s">
        <v>3200</v>
      </c>
      <c r="C264" s="29" t="s">
        <v>2991</v>
      </c>
      <c r="D264" s="28" t="s">
        <v>15</v>
      </c>
      <c r="E264" s="28">
        <v>15480</v>
      </c>
      <c r="G264" s="17"/>
    </row>
    <row r="265" spans="1:7" s="116" customFormat="1" ht="33.75" customHeight="1" x14ac:dyDescent="0.25">
      <c r="A265" s="28">
        <f t="shared" si="4"/>
        <v>244</v>
      </c>
      <c r="B265" s="29" t="s">
        <v>3201</v>
      </c>
      <c r="C265" s="29" t="s">
        <v>2991</v>
      </c>
      <c r="D265" s="28" t="s">
        <v>15</v>
      </c>
      <c r="E265" s="28">
        <v>11610</v>
      </c>
      <c r="G265" s="17"/>
    </row>
    <row r="266" spans="1:7" s="116" customFormat="1" ht="33.75" customHeight="1" x14ac:dyDescent="0.25">
      <c r="A266" s="28">
        <f t="shared" si="4"/>
        <v>245</v>
      </c>
      <c r="B266" s="29" t="s">
        <v>3204</v>
      </c>
      <c r="C266" s="29" t="s">
        <v>2977</v>
      </c>
      <c r="D266" s="28" t="s">
        <v>15</v>
      </c>
      <c r="E266" s="28">
        <v>20640</v>
      </c>
      <c r="G266" s="17"/>
    </row>
    <row r="267" spans="1:7" s="116" customFormat="1" ht="33.75" customHeight="1" x14ac:dyDescent="0.25">
      <c r="A267" s="28">
        <f t="shared" si="4"/>
        <v>246</v>
      </c>
      <c r="B267" s="29" t="s">
        <v>3205</v>
      </c>
      <c r="C267" s="29" t="s">
        <v>2979</v>
      </c>
      <c r="D267" s="28" t="s">
        <v>15</v>
      </c>
      <c r="E267" s="28">
        <v>15480</v>
      </c>
      <c r="G267" s="17"/>
    </row>
    <row r="268" spans="1:7" s="116" customFormat="1" ht="33.75" customHeight="1" x14ac:dyDescent="0.25">
      <c r="A268" s="28">
        <f t="shared" si="4"/>
        <v>247</v>
      </c>
      <c r="B268" s="29" t="s">
        <v>3170</v>
      </c>
      <c r="C268" s="29" t="s">
        <v>3127</v>
      </c>
      <c r="D268" s="28" t="s">
        <v>15</v>
      </c>
      <c r="E268" s="28">
        <v>41160</v>
      </c>
      <c r="G268" s="17"/>
    </row>
    <row r="269" spans="1:7" s="116" customFormat="1" ht="33.75" customHeight="1" x14ac:dyDescent="0.25">
      <c r="A269" s="28">
        <f t="shared" si="4"/>
        <v>248</v>
      </c>
      <c r="B269" s="29" t="s">
        <v>3171</v>
      </c>
      <c r="C269" s="29" t="s">
        <v>3172</v>
      </c>
      <c r="D269" s="28" t="s">
        <v>15</v>
      </c>
      <c r="E269" s="28">
        <v>30840</v>
      </c>
      <c r="G269" s="17"/>
    </row>
    <row r="270" spans="1:7" s="116" customFormat="1" ht="33.75" customHeight="1" x14ac:dyDescent="0.25">
      <c r="A270" s="28">
        <f t="shared" si="4"/>
        <v>249</v>
      </c>
      <c r="B270" s="29" t="s">
        <v>3145</v>
      </c>
      <c r="C270" s="29" t="s">
        <v>3092</v>
      </c>
      <c r="D270" s="28" t="s">
        <v>15</v>
      </c>
      <c r="E270" s="28">
        <v>20640</v>
      </c>
      <c r="G270" s="17"/>
    </row>
    <row r="271" spans="1:7" s="116" customFormat="1" ht="33.75" customHeight="1" x14ac:dyDescent="0.25">
      <c r="A271" s="28">
        <f t="shared" si="4"/>
        <v>250</v>
      </c>
      <c r="B271" s="29" t="s">
        <v>3146</v>
      </c>
      <c r="C271" s="29" t="s">
        <v>3092</v>
      </c>
      <c r="D271" s="28" t="s">
        <v>15</v>
      </c>
      <c r="E271" s="28">
        <v>15480</v>
      </c>
      <c r="G271" s="17"/>
    </row>
    <row r="272" spans="1:7" s="116" customFormat="1" ht="33.75" customHeight="1" x14ac:dyDescent="0.25">
      <c r="A272" s="28">
        <f t="shared" si="4"/>
        <v>251</v>
      </c>
      <c r="B272" s="29" t="s">
        <v>3196</v>
      </c>
      <c r="C272" s="29" t="s">
        <v>3010</v>
      </c>
      <c r="D272" s="28" t="s">
        <v>15</v>
      </c>
      <c r="E272" s="28">
        <v>30840</v>
      </c>
      <c r="G272" s="17"/>
    </row>
    <row r="273" spans="1:7" s="116" customFormat="1" ht="33.75" customHeight="1" x14ac:dyDescent="0.25">
      <c r="A273" s="28">
        <f t="shared" si="4"/>
        <v>252</v>
      </c>
      <c r="B273" s="29" t="s">
        <v>3197</v>
      </c>
      <c r="C273" s="29" t="s">
        <v>3010</v>
      </c>
      <c r="D273" s="28" t="s">
        <v>15</v>
      </c>
      <c r="E273" s="28">
        <v>30840</v>
      </c>
      <c r="G273" s="17"/>
    </row>
    <row r="274" spans="1:7" s="116" customFormat="1" ht="33.75" customHeight="1" x14ac:dyDescent="0.25">
      <c r="A274" s="28">
        <f t="shared" si="4"/>
        <v>253</v>
      </c>
      <c r="B274" s="29" t="s">
        <v>3206</v>
      </c>
      <c r="C274" s="29" t="s">
        <v>3010</v>
      </c>
      <c r="D274" s="28" t="s">
        <v>15</v>
      </c>
      <c r="E274" s="28">
        <v>10320</v>
      </c>
      <c r="G274" s="17"/>
    </row>
    <row r="275" spans="1:7" s="116" customFormat="1" ht="33.75" customHeight="1" x14ac:dyDescent="0.25">
      <c r="A275" s="28">
        <f t="shared" si="4"/>
        <v>254</v>
      </c>
      <c r="B275" s="29" t="s">
        <v>3207</v>
      </c>
      <c r="C275" s="29" t="s">
        <v>3010</v>
      </c>
      <c r="D275" s="28" t="s">
        <v>15</v>
      </c>
      <c r="E275" s="28">
        <v>7740</v>
      </c>
      <c r="G275" s="17"/>
    </row>
    <row r="276" spans="1:7" s="116" customFormat="1" ht="33.75" customHeight="1" x14ac:dyDescent="0.25">
      <c r="A276" s="28">
        <f t="shared" si="4"/>
        <v>255</v>
      </c>
      <c r="B276" s="29" t="s">
        <v>3208</v>
      </c>
      <c r="C276" s="29" t="s">
        <v>3042</v>
      </c>
      <c r="D276" s="28" t="s">
        <v>15</v>
      </c>
      <c r="E276" s="28">
        <v>10320</v>
      </c>
      <c r="G276" s="17"/>
    </row>
    <row r="277" spans="1:7" s="116" customFormat="1" ht="33.75" customHeight="1" x14ac:dyDescent="0.25">
      <c r="A277" s="28">
        <f t="shared" si="4"/>
        <v>256</v>
      </c>
      <c r="B277" s="29" t="s">
        <v>3209</v>
      </c>
      <c r="C277" s="29" t="s">
        <v>3042</v>
      </c>
      <c r="D277" s="28" t="s">
        <v>15</v>
      </c>
      <c r="E277" s="28">
        <v>7740</v>
      </c>
      <c r="G277" s="17"/>
    </row>
    <row r="278" spans="1:7" s="4" customFormat="1" ht="18.75" customHeight="1" x14ac:dyDescent="0.25">
      <c r="A278" s="136" t="s">
        <v>351</v>
      </c>
      <c r="B278" s="137"/>
      <c r="C278" s="137"/>
      <c r="D278" s="137"/>
      <c r="E278" s="138"/>
      <c r="F278" s="5"/>
      <c r="G278" s="17"/>
    </row>
    <row r="279" spans="1:7" s="4" customFormat="1" ht="18.75" customHeight="1" x14ac:dyDescent="0.25">
      <c r="A279" s="136" t="s">
        <v>3226</v>
      </c>
      <c r="B279" s="137"/>
      <c r="C279" s="137"/>
      <c r="D279" s="137"/>
      <c r="E279" s="138"/>
      <c r="F279" s="116"/>
      <c r="G279" s="17"/>
    </row>
    <row r="280" spans="1:7" s="4" customFormat="1" ht="18.75" customHeight="1" x14ac:dyDescent="0.25">
      <c r="A280" s="34">
        <f>A277+1</f>
        <v>257</v>
      </c>
      <c r="B280" s="29" t="s">
        <v>3227</v>
      </c>
      <c r="C280" s="29" t="s">
        <v>3228</v>
      </c>
      <c r="D280" s="28" t="s">
        <v>490</v>
      </c>
      <c r="E280" s="28">
        <v>18000</v>
      </c>
      <c r="F280" s="116"/>
      <c r="G280" s="17"/>
    </row>
    <row r="281" spans="1:7" s="9" customFormat="1" ht="18.75" customHeight="1" x14ac:dyDescent="0.25">
      <c r="A281" s="136" t="s">
        <v>353</v>
      </c>
      <c r="B281" s="137"/>
      <c r="C281" s="137"/>
      <c r="D281" s="137"/>
      <c r="E281" s="138"/>
      <c r="F281" s="5"/>
      <c r="G281" s="17"/>
    </row>
    <row r="282" spans="1:7" s="9" customFormat="1" ht="18.75" x14ac:dyDescent="0.25">
      <c r="A282" s="34">
        <f>A280+1</f>
        <v>258</v>
      </c>
      <c r="B282" s="29" t="s">
        <v>354</v>
      </c>
      <c r="C282" s="29" t="s">
        <v>355</v>
      </c>
      <c r="D282" s="28" t="s">
        <v>356</v>
      </c>
      <c r="E282" s="28">
        <v>36000</v>
      </c>
      <c r="F282" s="5"/>
      <c r="G282" s="17"/>
    </row>
    <row r="283" spans="1:7" s="4" customFormat="1" ht="18.75" x14ac:dyDescent="0.25">
      <c r="A283" s="34">
        <f>A282+1</f>
        <v>259</v>
      </c>
      <c r="B283" s="29" t="s">
        <v>3188</v>
      </c>
      <c r="C283" s="29" t="s">
        <v>3189</v>
      </c>
      <c r="D283" s="28" t="s">
        <v>356</v>
      </c>
      <c r="E283" s="28">
        <v>2400</v>
      </c>
      <c r="F283" s="116"/>
      <c r="G283" s="17"/>
    </row>
    <row r="284" spans="1:7" s="4" customFormat="1" ht="18.75" x14ac:dyDescent="0.25">
      <c r="A284" s="34">
        <f t="shared" ref="A284:A285" si="5">A283+1</f>
        <v>260</v>
      </c>
      <c r="B284" s="29" t="s">
        <v>3190</v>
      </c>
      <c r="C284" s="29" t="s">
        <v>3191</v>
      </c>
      <c r="D284" s="28" t="s">
        <v>356</v>
      </c>
      <c r="E284" s="28">
        <v>9600</v>
      </c>
      <c r="F284" s="116"/>
      <c r="G284" s="17"/>
    </row>
    <row r="285" spans="1:7" s="4" customFormat="1" ht="25.5" x14ac:dyDescent="0.25">
      <c r="A285" s="34">
        <f t="shared" si="5"/>
        <v>261</v>
      </c>
      <c r="B285" s="29" t="s">
        <v>357</v>
      </c>
      <c r="C285" s="29" t="s">
        <v>358</v>
      </c>
      <c r="D285" s="28" t="s">
        <v>356</v>
      </c>
      <c r="E285" s="28">
        <v>12840</v>
      </c>
      <c r="F285" s="5"/>
      <c r="G285" s="17"/>
    </row>
    <row r="286" spans="1:7" s="4" customFormat="1" ht="18.75" customHeight="1" x14ac:dyDescent="0.25">
      <c r="A286" s="139" t="s">
        <v>359</v>
      </c>
      <c r="B286" s="140"/>
      <c r="C286" s="140"/>
      <c r="D286" s="140"/>
      <c r="E286" s="141"/>
      <c r="F286" s="5"/>
      <c r="G286" s="17"/>
    </row>
    <row r="287" spans="1:7" s="10" customFormat="1" ht="18.75" x14ac:dyDescent="0.25">
      <c r="A287" s="28">
        <f>A285+1</f>
        <v>262</v>
      </c>
      <c r="B287" s="29" t="s">
        <v>360</v>
      </c>
      <c r="C287" s="29"/>
      <c r="D287" s="28" t="s">
        <v>352</v>
      </c>
      <c r="E287" s="28">
        <v>5160</v>
      </c>
      <c r="F287" s="5"/>
      <c r="G287" s="17"/>
    </row>
    <row r="288" spans="1:7" s="10" customFormat="1" ht="18.75" x14ac:dyDescent="0.25">
      <c r="A288" s="28">
        <f>A287+1</f>
        <v>263</v>
      </c>
      <c r="B288" s="29" t="s">
        <v>3072</v>
      </c>
      <c r="C288" s="29" t="s">
        <v>361</v>
      </c>
      <c r="D288" s="28" t="s">
        <v>356</v>
      </c>
      <c r="E288" s="28">
        <v>2880</v>
      </c>
      <c r="F288" s="5"/>
      <c r="G288" s="17"/>
    </row>
    <row r="289" spans="1:7" s="10" customFormat="1" ht="18.75" x14ac:dyDescent="0.25">
      <c r="A289" s="28">
        <f>A288+1</f>
        <v>264</v>
      </c>
      <c r="B289" s="29" t="s">
        <v>362</v>
      </c>
      <c r="C289" s="29" t="s">
        <v>363</v>
      </c>
      <c r="D289" s="28" t="s">
        <v>356</v>
      </c>
      <c r="E289" s="28">
        <v>2160</v>
      </c>
      <c r="F289" s="5"/>
      <c r="G289" s="17"/>
    </row>
    <row r="290" spans="1:7" s="10" customFormat="1" ht="18.75" x14ac:dyDescent="0.25">
      <c r="A290" s="28">
        <f>A289+1</f>
        <v>265</v>
      </c>
      <c r="B290" s="29" t="s">
        <v>364</v>
      </c>
      <c r="C290" s="29" t="s">
        <v>365</v>
      </c>
      <c r="D290" s="28" t="s">
        <v>356</v>
      </c>
      <c r="E290" s="28">
        <v>9000</v>
      </c>
      <c r="F290" s="5"/>
      <c r="G290" s="17"/>
    </row>
    <row r="291" spans="1:7" s="4" customFormat="1" ht="18.75" customHeight="1" x14ac:dyDescent="0.25">
      <c r="A291" s="139" t="s">
        <v>366</v>
      </c>
      <c r="B291" s="140"/>
      <c r="C291" s="140"/>
      <c r="D291" s="140"/>
      <c r="E291" s="141"/>
      <c r="F291" s="5"/>
      <c r="G291" s="17"/>
    </row>
    <row r="292" spans="1:7" s="4" customFormat="1" ht="18.75" x14ac:dyDescent="0.2">
      <c r="A292" s="28">
        <f>A290+1</f>
        <v>266</v>
      </c>
      <c r="B292" s="35" t="s">
        <v>367</v>
      </c>
      <c r="C292" s="36" t="s">
        <v>368</v>
      </c>
      <c r="D292" s="109" t="s">
        <v>356</v>
      </c>
      <c r="E292" s="28">
        <v>4560</v>
      </c>
      <c r="F292" s="5"/>
      <c r="G292" s="17"/>
    </row>
    <row r="293" spans="1:7" s="4" customFormat="1" ht="18.75" x14ac:dyDescent="0.2">
      <c r="A293" s="28">
        <f>A292+1</f>
        <v>267</v>
      </c>
      <c r="B293" s="35" t="s">
        <v>369</v>
      </c>
      <c r="C293" s="36" t="s">
        <v>368</v>
      </c>
      <c r="D293" s="109" t="s">
        <v>356</v>
      </c>
      <c r="E293" s="28">
        <v>9000</v>
      </c>
      <c r="F293" s="5"/>
      <c r="G293" s="17"/>
    </row>
    <row r="294" spans="1:7" s="4" customFormat="1" ht="18.75" x14ac:dyDescent="0.2">
      <c r="A294" s="28">
        <f t="shared" ref="A294:A341" si="6">A293+1</f>
        <v>268</v>
      </c>
      <c r="B294" s="35" t="s">
        <v>370</v>
      </c>
      <c r="C294" s="36" t="s">
        <v>368</v>
      </c>
      <c r="D294" s="109" t="s">
        <v>356</v>
      </c>
      <c r="E294" s="28">
        <v>3960</v>
      </c>
      <c r="F294" s="5"/>
      <c r="G294" s="17"/>
    </row>
    <row r="295" spans="1:7" s="4" customFormat="1" ht="18.75" x14ac:dyDescent="0.2">
      <c r="A295" s="28">
        <f t="shared" si="6"/>
        <v>269</v>
      </c>
      <c r="B295" s="35" t="s">
        <v>371</v>
      </c>
      <c r="C295" s="36" t="s">
        <v>368</v>
      </c>
      <c r="D295" s="109" t="s">
        <v>356</v>
      </c>
      <c r="E295" s="28">
        <v>7800</v>
      </c>
      <c r="F295" s="5"/>
      <c r="G295" s="17"/>
    </row>
    <row r="296" spans="1:7" s="4" customFormat="1" ht="18.75" x14ac:dyDescent="0.2">
      <c r="A296" s="28">
        <f t="shared" si="6"/>
        <v>270</v>
      </c>
      <c r="B296" s="35" t="s">
        <v>372</v>
      </c>
      <c r="C296" s="36" t="s">
        <v>373</v>
      </c>
      <c r="D296" s="109" t="s">
        <v>356</v>
      </c>
      <c r="E296" s="28">
        <v>2280</v>
      </c>
      <c r="F296" s="5"/>
      <c r="G296" s="17"/>
    </row>
    <row r="297" spans="1:7" s="4" customFormat="1" ht="18.75" x14ac:dyDescent="0.2">
      <c r="A297" s="28">
        <f t="shared" si="6"/>
        <v>271</v>
      </c>
      <c r="B297" s="35" t="s">
        <v>374</v>
      </c>
      <c r="C297" s="36" t="s">
        <v>373</v>
      </c>
      <c r="D297" s="109" t="s">
        <v>356</v>
      </c>
      <c r="E297" s="28">
        <v>4560</v>
      </c>
      <c r="F297" s="5"/>
      <c r="G297" s="17"/>
    </row>
    <row r="298" spans="1:7" s="4" customFormat="1" ht="18.75" x14ac:dyDescent="0.2">
      <c r="A298" s="28">
        <f t="shared" si="6"/>
        <v>272</v>
      </c>
      <c r="B298" s="35" t="s">
        <v>375</v>
      </c>
      <c r="C298" s="36" t="s">
        <v>376</v>
      </c>
      <c r="D298" s="109" t="s">
        <v>356</v>
      </c>
      <c r="E298" s="28">
        <v>2280</v>
      </c>
      <c r="F298" s="5"/>
      <c r="G298" s="17"/>
    </row>
    <row r="299" spans="1:7" s="4" customFormat="1" ht="18.75" x14ac:dyDescent="0.2">
      <c r="A299" s="28">
        <f t="shared" si="6"/>
        <v>273</v>
      </c>
      <c r="B299" s="35" t="s">
        <v>377</v>
      </c>
      <c r="C299" s="36" t="s">
        <v>376</v>
      </c>
      <c r="D299" s="109" t="s">
        <v>356</v>
      </c>
      <c r="E299" s="28">
        <v>3960</v>
      </c>
      <c r="F299" s="5"/>
      <c r="G299" s="17"/>
    </row>
    <row r="300" spans="1:7" s="4" customFormat="1" ht="18.75" x14ac:dyDescent="0.2">
      <c r="A300" s="28">
        <f t="shared" si="6"/>
        <v>274</v>
      </c>
      <c r="B300" s="35" t="s">
        <v>378</v>
      </c>
      <c r="C300" s="29" t="s">
        <v>379</v>
      </c>
      <c r="D300" s="28" t="s">
        <v>356</v>
      </c>
      <c r="E300" s="28">
        <v>2280</v>
      </c>
      <c r="F300" s="5"/>
      <c r="G300" s="17"/>
    </row>
    <row r="301" spans="1:7" s="4" customFormat="1" ht="18.75" x14ac:dyDescent="0.2">
      <c r="A301" s="28">
        <f t="shared" si="6"/>
        <v>275</v>
      </c>
      <c r="B301" s="35" t="s">
        <v>380</v>
      </c>
      <c r="C301" s="29" t="s">
        <v>379</v>
      </c>
      <c r="D301" s="28" t="s">
        <v>356</v>
      </c>
      <c r="E301" s="28">
        <v>3960</v>
      </c>
      <c r="F301" s="5"/>
      <c r="G301" s="17"/>
    </row>
    <row r="302" spans="1:7" s="4" customFormat="1" ht="18.75" x14ac:dyDescent="0.2">
      <c r="A302" s="28">
        <f t="shared" si="6"/>
        <v>276</v>
      </c>
      <c r="B302" s="35" t="s">
        <v>381</v>
      </c>
      <c r="C302" s="36" t="s">
        <v>382</v>
      </c>
      <c r="D302" s="109" t="s">
        <v>356</v>
      </c>
      <c r="E302" s="28">
        <v>1440</v>
      </c>
      <c r="F302" s="5"/>
      <c r="G302" s="17"/>
    </row>
    <row r="303" spans="1:7" s="4" customFormat="1" ht="18" customHeight="1" x14ac:dyDescent="0.2">
      <c r="A303" s="28">
        <f t="shared" si="6"/>
        <v>277</v>
      </c>
      <c r="B303" s="35" t="s">
        <v>383</v>
      </c>
      <c r="C303" s="36" t="s">
        <v>382</v>
      </c>
      <c r="D303" s="109" t="s">
        <v>356</v>
      </c>
      <c r="E303" s="28">
        <v>2640</v>
      </c>
      <c r="F303" s="5"/>
      <c r="G303" s="17"/>
    </row>
    <row r="304" spans="1:7" s="4" customFormat="1" ht="28.5" customHeight="1" x14ac:dyDescent="0.2">
      <c r="A304" s="28">
        <f t="shared" si="6"/>
        <v>278</v>
      </c>
      <c r="B304" s="35" t="s">
        <v>384</v>
      </c>
      <c r="C304" s="36" t="s">
        <v>385</v>
      </c>
      <c r="D304" s="109" t="s">
        <v>356</v>
      </c>
      <c r="E304" s="28">
        <v>1560</v>
      </c>
      <c r="F304" s="5"/>
      <c r="G304" s="17"/>
    </row>
    <row r="305" spans="1:7" s="4" customFormat="1" ht="30" customHeight="1" x14ac:dyDescent="0.2">
      <c r="A305" s="28">
        <f t="shared" si="6"/>
        <v>279</v>
      </c>
      <c r="B305" s="35" t="s">
        <v>386</v>
      </c>
      <c r="C305" s="36" t="s">
        <v>385</v>
      </c>
      <c r="D305" s="109" t="s">
        <v>356</v>
      </c>
      <c r="E305" s="28">
        <v>3000</v>
      </c>
      <c r="F305" s="5"/>
      <c r="G305" s="17"/>
    </row>
    <row r="306" spans="1:7" s="4" customFormat="1" ht="18.75" x14ac:dyDescent="0.2">
      <c r="A306" s="28">
        <f t="shared" si="6"/>
        <v>280</v>
      </c>
      <c r="B306" s="35" t="s">
        <v>387</v>
      </c>
      <c r="C306" s="36" t="s">
        <v>388</v>
      </c>
      <c r="D306" s="109" t="s">
        <v>356</v>
      </c>
      <c r="E306" s="28">
        <v>4560</v>
      </c>
      <c r="F306" s="5"/>
      <c r="G306" s="17"/>
    </row>
    <row r="307" spans="1:7" s="4" customFormat="1" ht="18.75" x14ac:dyDescent="0.2">
      <c r="A307" s="28">
        <f t="shared" si="6"/>
        <v>281</v>
      </c>
      <c r="B307" s="35" t="s">
        <v>389</v>
      </c>
      <c r="C307" s="36" t="s">
        <v>388</v>
      </c>
      <c r="D307" s="109" t="s">
        <v>356</v>
      </c>
      <c r="E307" s="28">
        <v>9000</v>
      </c>
      <c r="F307" s="5"/>
      <c r="G307" s="17"/>
    </row>
    <row r="308" spans="1:7" s="4" customFormat="1" ht="18.75" x14ac:dyDescent="0.2">
      <c r="A308" s="28">
        <f t="shared" si="6"/>
        <v>282</v>
      </c>
      <c r="B308" s="35" t="s">
        <v>390</v>
      </c>
      <c r="C308" s="29" t="s">
        <v>391</v>
      </c>
      <c r="D308" s="28" t="s">
        <v>356</v>
      </c>
      <c r="E308" s="28">
        <v>1680</v>
      </c>
      <c r="F308" s="5"/>
      <c r="G308" s="17"/>
    </row>
    <row r="309" spans="1:7" s="4" customFormat="1" ht="18.75" x14ac:dyDescent="0.2">
      <c r="A309" s="28">
        <f t="shared" si="6"/>
        <v>283</v>
      </c>
      <c r="B309" s="35" t="s">
        <v>392</v>
      </c>
      <c r="C309" s="29" t="s">
        <v>391</v>
      </c>
      <c r="D309" s="28" t="s">
        <v>356</v>
      </c>
      <c r="E309" s="28">
        <v>3240</v>
      </c>
      <c r="F309" s="5"/>
      <c r="G309" s="17"/>
    </row>
    <row r="310" spans="1:7" s="4" customFormat="1" ht="18.75" x14ac:dyDescent="0.2">
      <c r="A310" s="28">
        <f t="shared" si="6"/>
        <v>284</v>
      </c>
      <c r="B310" s="35" t="s">
        <v>393</v>
      </c>
      <c r="C310" s="29"/>
      <c r="D310" s="28" t="s">
        <v>356</v>
      </c>
      <c r="E310" s="28">
        <v>1680</v>
      </c>
      <c r="F310" s="5"/>
      <c r="G310" s="17"/>
    </row>
    <row r="311" spans="1:7" s="4" customFormat="1" ht="18.75" x14ac:dyDescent="0.2">
      <c r="A311" s="28">
        <f t="shared" si="6"/>
        <v>285</v>
      </c>
      <c r="B311" s="35" t="s">
        <v>394</v>
      </c>
      <c r="C311" s="29"/>
      <c r="D311" s="28" t="s">
        <v>356</v>
      </c>
      <c r="E311" s="28">
        <v>3240</v>
      </c>
      <c r="F311" s="5"/>
      <c r="G311" s="17"/>
    </row>
    <row r="312" spans="1:7" s="4" customFormat="1" ht="22.5" customHeight="1" x14ac:dyDescent="0.2">
      <c r="A312" s="28">
        <f t="shared" si="6"/>
        <v>286</v>
      </c>
      <c r="B312" s="35" t="s">
        <v>395</v>
      </c>
      <c r="C312" s="29"/>
      <c r="D312" s="28" t="s">
        <v>356</v>
      </c>
      <c r="E312" s="28">
        <v>1200</v>
      </c>
      <c r="F312" s="5"/>
      <c r="G312" s="17"/>
    </row>
    <row r="313" spans="1:7" s="4" customFormat="1" ht="22.5" customHeight="1" x14ac:dyDescent="0.2">
      <c r="A313" s="28">
        <f t="shared" si="6"/>
        <v>287</v>
      </c>
      <c r="B313" s="35" t="s">
        <v>396</v>
      </c>
      <c r="C313" s="29"/>
      <c r="D313" s="28" t="s">
        <v>356</v>
      </c>
      <c r="E313" s="28">
        <v>2280</v>
      </c>
      <c r="F313" s="5"/>
      <c r="G313" s="17"/>
    </row>
    <row r="314" spans="1:7" s="4" customFormat="1" ht="18.75" x14ac:dyDescent="0.2">
      <c r="A314" s="28">
        <f t="shared" si="6"/>
        <v>288</v>
      </c>
      <c r="B314" s="35" t="s">
        <v>397</v>
      </c>
      <c r="C314" s="29"/>
      <c r="D314" s="28" t="s">
        <v>356</v>
      </c>
      <c r="E314" s="28">
        <v>1680</v>
      </c>
      <c r="F314" s="5"/>
      <c r="G314" s="17"/>
    </row>
    <row r="315" spans="1:7" s="4" customFormat="1" ht="18.75" x14ac:dyDescent="0.2">
      <c r="A315" s="28">
        <f t="shared" si="6"/>
        <v>289</v>
      </c>
      <c r="B315" s="35" t="s">
        <v>398</v>
      </c>
      <c r="C315" s="29"/>
      <c r="D315" s="28" t="s">
        <v>356</v>
      </c>
      <c r="E315" s="28">
        <v>3240</v>
      </c>
      <c r="F315" s="5"/>
      <c r="G315" s="17"/>
    </row>
    <row r="316" spans="1:7" s="4" customFormat="1" ht="18.75" x14ac:dyDescent="0.2">
      <c r="A316" s="28">
        <f t="shared" si="6"/>
        <v>290</v>
      </c>
      <c r="B316" s="35" t="s">
        <v>399</v>
      </c>
      <c r="C316" s="29" t="s">
        <v>400</v>
      </c>
      <c r="D316" s="28" t="s">
        <v>356</v>
      </c>
      <c r="E316" s="28">
        <v>1440</v>
      </c>
      <c r="F316" s="5"/>
      <c r="G316" s="17"/>
    </row>
    <row r="317" spans="1:7" s="4" customFormat="1" ht="18.75" x14ac:dyDescent="0.2">
      <c r="A317" s="28">
        <f t="shared" si="6"/>
        <v>291</v>
      </c>
      <c r="B317" s="35" t="s">
        <v>401</v>
      </c>
      <c r="C317" s="29" t="s">
        <v>400</v>
      </c>
      <c r="D317" s="28" t="s">
        <v>356</v>
      </c>
      <c r="E317" s="28">
        <v>2880</v>
      </c>
      <c r="F317" s="5"/>
      <c r="G317" s="17"/>
    </row>
    <row r="318" spans="1:7" s="4" customFormat="1" ht="18.75" x14ac:dyDescent="0.2">
      <c r="A318" s="28">
        <f t="shared" si="6"/>
        <v>292</v>
      </c>
      <c r="B318" s="35" t="s">
        <v>402</v>
      </c>
      <c r="C318" s="29" t="s">
        <v>403</v>
      </c>
      <c r="D318" s="28" t="s">
        <v>356</v>
      </c>
      <c r="E318" s="28">
        <v>2040</v>
      </c>
      <c r="F318" s="5"/>
      <c r="G318" s="17"/>
    </row>
    <row r="319" spans="1:7" s="4" customFormat="1" ht="18.75" x14ac:dyDescent="0.2">
      <c r="A319" s="28">
        <f t="shared" si="6"/>
        <v>293</v>
      </c>
      <c r="B319" s="35" t="s">
        <v>404</v>
      </c>
      <c r="C319" s="29" t="s">
        <v>403</v>
      </c>
      <c r="D319" s="28" t="s">
        <v>356</v>
      </c>
      <c r="E319" s="28">
        <v>3960</v>
      </c>
      <c r="F319" s="5"/>
      <c r="G319" s="17"/>
    </row>
    <row r="320" spans="1:7" s="4" customFormat="1" ht="18.75" x14ac:dyDescent="0.2">
      <c r="A320" s="28">
        <f t="shared" si="6"/>
        <v>294</v>
      </c>
      <c r="B320" s="35" t="s">
        <v>405</v>
      </c>
      <c r="C320" s="29" t="s">
        <v>406</v>
      </c>
      <c r="D320" s="28" t="s">
        <v>356</v>
      </c>
      <c r="E320" s="28">
        <v>3240</v>
      </c>
      <c r="F320" s="5"/>
      <c r="G320" s="17"/>
    </row>
    <row r="321" spans="1:7" s="4" customFormat="1" ht="18.75" x14ac:dyDescent="0.2">
      <c r="A321" s="28">
        <f t="shared" si="6"/>
        <v>295</v>
      </c>
      <c r="B321" s="35" t="s">
        <v>407</v>
      </c>
      <c r="C321" s="29" t="s">
        <v>406</v>
      </c>
      <c r="D321" s="28" t="s">
        <v>356</v>
      </c>
      <c r="E321" s="28">
        <v>6480</v>
      </c>
      <c r="F321" s="5"/>
      <c r="G321" s="17"/>
    </row>
    <row r="322" spans="1:7" s="4" customFormat="1" ht="18.75" x14ac:dyDescent="0.2">
      <c r="A322" s="28">
        <f t="shared" si="6"/>
        <v>296</v>
      </c>
      <c r="B322" s="35" t="s">
        <v>408</v>
      </c>
      <c r="C322" s="29" t="s">
        <v>409</v>
      </c>
      <c r="D322" s="28" t="s">
        <v>356</v>
      </c>
      <c r="E322" s="28">
        <v>2880</v>
      </c>
      <c r="F322" s="5"/>
      <c r="G322" s="17"/>
    </row>
    <row r="323" spans="1:7" s="4" customFormat="1" ht="18.75" x14ac:dyDescent="0.2">
      <c r="A323" s="28">
        <f t="shared" si="6"/>
        <v>297</v>
      </c>
      <c r="B323" s="35" t="s">
        <v>410</v>
      </c>
      <c r="C323" s="29" t="s">
        <v>409</v>
      </c>
      <c r="D323" s="28" t="s">
        <v>356</v>
      </c>
      <c r="E323" s="28">
        <v>5760</v>
      </c>
      <c r="F323" s="5"/>
      <c r="G323" s="17"/>
    </row>
    <row r="324" spans="1:7" s="4" customFormat="1" ht="18.75" x14ac:dyDescent="0.2">
      <c r="A324" s="28">
        <f t="shared" si="6"/>
        <v>298</v>
      </c>
      <c r="B324" s="35" t="s">
        <v>411</v>
      </c>
      <c r="C324" s="36" t="s">
        <v>412</v>
      </c>
      <c r="D324" s="109" t="s">
        <v>356</v>
      </c>
      <c r="E324" s="28">
        <v>4200</v>
      </c>
      <c r="F324" s="5"/>
      <c r="G324" s="17"/>
    </row>
    <row r="325" spans="1:7" s="4" customFormat="1" ht="18.75" x14ac:dyDescent="0.2">
      <c r="A325" s="28">
        <f t="shared" si="6"/>
        <v>299</v>
      </c>
      <c r="B325" s="35" t="s">
        <v>413</v>
      </c>
      <c r="C325" s="36" t="s">
        <v>412</v>
      </c>
      <c r="D325" s="109" t="s">
        <v>356</v>
      </c>
      <c r="E325" s="28">
        <v>8400</v>
      </c>
      <c r="F325" s="5"/>
      <c r="G325" s="17"/>
    </row>
    <row r="326" spans="1:7" s="4" customFormat="1" ht="18.75" x14ac:dyDescent="0.2">
      <c r="A326" s="28">
        <f t="shared" si="6"/>
        <v>300</v>
      </c>
      <c r="B326" s="35" t="s">
        <v>414</v>
      </c>
      <c r="C326" s="29" t="s">
        <v>415</v>
      </c>
      <c r="D326" s="28" t="s">
        <v>356</v>
      </c>
      <c r="E326" s="28">
        <v>2640</v>
      </c>
      <c r="F326" s="5"/>
      <c r="G326" s="17"/>
    </row>
    <row r="327" spans="1:7" s="4" customFormat="1" ht="18.75" x14ac:dyDescent="0.2">
      <c r="A327" s="28">
        <f t="shared" si="6"/>
        <v>301</v>
      </c>
      <c r="B327" s="35" t="s">
        <v>416</v>
      </c>
      <c r="C327" s="29" t="s">
        <v>415</v>
      </c>
      <c r="D327" s="28" t="s">
        <v>356</v>
      </c>
      <c r="E327" s="28">
        <v>5160</v>
      </c>
      <c r="F327" s="5"/>
      <c r="G327" s="17"/>
    </row>
    <row r="328" spans="1:7" s="4" customFormat="1" ht="18.75" x14ac:dyDescent="0.2">
      <c r="A328" s="28">
        <f t="shared" si="6"/>
        <v>302</v>
      </c>
      <c r="B328" s="35" t="s">
        <v>417</v>
      </c>
      <c r="C328" s="29"/>
      <c r="D328" s="28" t="s">
        <v>356</v>
      </c>
      <c r="E328" s="28">
        <v>2040</v>
      </c>
      <c r="F328" s="5"/>
      <c r="G328" s="17"/>
    </row>
    <row r="329" spans="1:7" s="4" customFormat="1" ht="18.75" x14ac:dyDescent="0.2">
      <c r="A329" s="28">
        <f t="shared" si="6"/>
        <v>303</v>
      </c>
      <c r="B329" s="35" t="s">
        <v>418</v>
      </c>
      <c r="C329" s="29"/>
      <c r="D329" s="28" t="s">
        <v>356</v>
      </c>
      <c r="E329" s="28">
        <v>3360</v>
      </c>
      <c r="F329" s="5"/>
      <c r="G329" s="17"/>
    </row>
    <row r="330" spans="1:7" s="4" customFormat="1" ht="18.75" x14ac:dyDescent="0.2">
      <c r="A330" s="28">
        <f t="shared" si="6"/>
        <v>304</v>
      </c>
      <c r="B330" s="35" t="s">
        <v>419</v>
      </c>
      <c r="C330" s="29" t="s">
        <v>420</v>
      </c>
      <c r="D330" s="28" t="s">
        <v>356</v>
      </c>
      <c r="E330" s="28">
        <v>2640</v>
      </c>
      <c r="F330" s="5"/>
      <c r="G330" s="17"/>
    </row>
    <row r="331" spans="1:7" s="4" customFormat="1" ht="18.75" x14ac:dyDescent="0.2">
      <c r="A331" s="28">
        <f t="shared" si="6"/>
        <v>305</v>
      </c>
      <c r="B331" s="35" t="s">
        <v>421</v>
      </c>
      <c r="C331" s="29" t="s">
        <v>420</v>
      </c>
      <c r="D331" s="28" t="s">
        <v>356</v>
      </c>
      <c r="E331" s="28">
        <v>5160</v>
      </c>
      <c r="F331" s="5"/>
      <c r="G331" s="17"/>
    </row>
    <row r="332" spans="1:7" s="4" customFormat="1" ht="18.75" x14ac:dyDescent="0.2">
      <c r="A332" s="28">
        <f t="shared" si="6"/>
        <v>306</v>
      </c>
      <c r="B332" s="35" t="s">
        <v>422</v>
      </c>
      <c r="C332" s="29" t="s">
        <v>423</v>
      </c>
      <c r="D332" s="28" t="s">
        <v>356</v>
      </c>
      <c r="E332" s="28">
        <v>2640</v>
      </c>
      <c r="F332" s="5"/>
      <c r="G332" s="17"/>
    </row>
    <row r="333" spans="1:7" s="4" customFormat="1" ht="18.75" x14ac:dyDescent="0.2">
      <c r="A333" s="28">
        <f t="shared" si="6"/>
        <v>307</v>
      </c>
      <c r="B333" s="35" t="s">
        <v>424</v>
      </c>
      <c r="C333" s="29" t="s">
        <v>423</v>
      </c>
      <c r="D333" s="28" t="s">
        <v>356</v>
      </c>
      <c r="E333" s="28">
        <v>5160</v>
      </c>
      <c r="F333" s="5"/>
      <c r="G333" s="17"/>
    </row>
    <row r="334" spans="1:7" s="4" customFormat="1" ht="18.75" x14ac:dyDescent="0.2">
      <c r="A334" s="28">
        <f t="shared" si="6"/>
        <v>308</v>
      </c>
      <c r="B334" s="35" t="s">
        <v>425</v>
      </c>
      <c r="C334" s="29" t="s">
        <v>415</v>
      </c>
      <c r="D334" s="28" t="s">
        <v>356</v>
      </c>
      <c r="E334" s="28">
        <v>1680</v>
      </c>
      <c r="F334" s="5"/>
      <c r="G334" s="17"/>
    </row>
    <row r="335" spans="1:7" s="4" customFormat="1" ht="18.75" x14ac:dyDescent="0.2">
      <c r="A335" s="28">
        <f t="shared" si="6"/>
        <v>309</v>
      </c>
      <c r="B335" s="35" t="s">
        <v>426</v>
      </c>
      <c r="C335" s="29" t="s">
        <v>415</v>
      </c>
      <c r="D335" s="28" t="s">
        <v>356</v>
      </c>
      <c r="E335" s="28">
        <v>3240</v>
      </c>
      <c r="F335" s="5"/>
      <c r="G335" s="17"/>
    </row>
    <row r="336" spans="1:7" s="4" customFormat="1" ht="18.75" x14ac:dyDescent="0.2">
      <c r="A336" s="28">
        <f t="shared" si="6"/>
        <v>310</v>
      </c>
      <c r="B336" s="35" t="s">
        <v>427</v>
      </c>
      <c r="C336" s="29" t="s">
        <v>428</v>
      </c>
      <c r="D336" s="28" t="s">
        <v>356</v>
      </c>
      <c r="E336" s="28">
        <v>2040</v>
      </c>
      <c r="F336" s="5"/>
      <c r="G336" s="17"/>
    </row>
    <row r="337" spans="1:7" s="4" customFormat="1" ht="20.25" customHeight="1" x14ac:dyDescent="0.2">
      <c r="A337" s="28">
        <f t="shared" si="6"/>
        <v>311</v>
      </c>
      <c r="B337" s="35" t="s">
        <v>429</v>
      </c>
      <c r="C337" s="29" t="s">
        <v>428</v>
      </c>
      <c r="D337" s="28" t="s">
        <v>356</v>
      </c>
      <c r="E337" s="28">
        <v>3960</v>
      </c>
      <c r="F337" s="5"/>
      <c r="G337" s="17"/>
    </row>
    <row r="338" spans="1:7" s="4" customFormat="1" ht="18.75" x14ac:dyDescent="0.2">
      <c r="A338" s="28">
        <f t="shared" si="6"/>
        <v>312</v>
      </c>
      <c r="B338" s="35" t="s">
        <v>430</v>
      </c>
      <c r="C338" s="29" t="s">
        <v>431</v>
      </c>
      <c r="D338" s="28" t="s">
        <v>356</v>
      </c>
      <c r="E338" s="28">
        <v>3240</v>
      </c>
      <c r="F338" s="5"/>
      <c r="G338" s="17"/>
    </row>
    <row r="339" spans="1:7" s="4" customFormat="1" ht="18.75" x14ac:dyDescent="0.2">
      <c r="A339" s="28">
        <f t="shared" si="6"/>
        <v>313</v>
      </c>
      <c r="B339" s="35" t="s">
        <v>432</v>
      </c>
      <c r="C339" s="29" t="s">
        <v>431</v>
      </c>
      <c r="D339" s="28" t="s">
        <v>356</v>
      </c>
      <c r="E339" s="28">
        <v>6480</v>
      </c>
      <c r="F339" s="5"/>
      <c r="G339" s="17"/>
    </row>
    <row r="340" spans="1:7" s="4" customFormat="1" ht="18.75" x14ac:dyDescent="0.25">
      <c r="A340" s="28">
        <f t="shared" si="6"/>
        <v>314</v>
      </c>
      <c r="B340" s="33" t="s">
        <v>433</v>
      </c>
      <c r="C340" s="29" t="s">
        <v>434</v>
      </c>
      <c r="D340" s="30" t="s">
        <v>356</v>
      </c>
      <c r="E340" s="28">
        <v>5160</v>
      </c>
      <c r="F340" s="5"/>
      <c r="G340" s="17"/>
    </row>
    <row r="341" spans="1:7" s="4" customFormat="1" ht="18.75" x14ac:dyDescent="0.25">
      <c r="A341" s="28">
        <f t="shared" si="6"/>
        <v>315</v>
      </c>
      <c r="B341" s="33" t="s">
        <v>435</v>
      </c>
      <c r="C341" s="29" t="s">
        <v>434</v>
      </c>
      <c r="D341" s="30" t="s">
        <v>356</v>
      </c>
      <c r="E341" s="28">
        <v>10320</v>
      </c>
      <c r="F341" s="5"/>
      <c r="G341" s="17"/>
    </row>
    <row r="342" spans="1:7" s="4" customFormat="1" ht="18.75" customHeight="1" x14ac:dyDescent="0.25">
      <c r="A342" s="139" t="s">
        <v>436</v>
      </c>
      <c r="B342" s="140"/>
      <c r="C342" s="140"/>
      <c r="D342" s="140"/>
      <c r="E342" s="141"/>
      <c r="F342" s="5"/>
      <c r="G342" s="17"/>
    </row>
    <row r="343" spans="1:7" s="4" customFormat="1" ht="18.75" x14ac:dyDescent="0.25">
      <c r="A343" s="28">
        <f>A341+1</f>
        <v>316</v>
      </c>
      <c r="B343" s="33" t="s">
        <v>389</v>
      </c>
      <c r="C343" s="29" t="s">
        <v>388</v>
      </c>
      <c r="D343" s="28" t="s">
        <v>356</v>
      </c>
      <c r="E343" s="28">
        <v>9000</v>
      </c>
      <c r="F343" s="5"/>
      <c r="G343" s="17"/>
    </row>
    <row r="344" spans="1:7" s="4" customFormat="1" ht="25.5" x14ac:dyDescent="0.25">
      <c r="A344" s="28">
        <f>A343+1</f>
        <v>317</v>
      </c>
      <c r="B344" s="33" t="s">
        <v>439</v>
      </c>
      <c r="C344" s="29" t="s">
        <v>440</v>
      </c>
      <c r="D344" s="30" t="s">
        <v>438</v>
      </c>
      <c r="E344" s="28">
        <v>25680</v>
      </c>
      <c r="F344" s="5"/>
      <c r="G344" s="17"/>
    </row>
    <row r="345" spans="1:7" s="4" customFormat="1" ht="25.5" x14ac:dyDescent="0.25">
      <c r="A345" s="28">
        <f t="shared" ref="A345:A361" si="7">A344+1</f>
        <v>318</v>
      </c>
      <c r="B345" s="33" t="s">
        <v>441</v>
      </c>
      <c r="C345" s="29" t="s">
        <v>442</v>
      </c>
      <c r="D345" s="30" t="s">
        <v>438</v>
      </c>
      <c r="E345" s="28">
        <v>25680</v>
      </c>
      <c r="F345" s="5"/>
      <c r="G345" s="17"/>
    </row>
    <row r="346" spans="1:7" s="4" customFormat="1" ht="25.5" x14ac:dyDescent="0.25">
      <c r="A346" s="28">
        <f t="shared" si="7"/>
        <v>319</v>
      </c>
      <c r="B346" s="33" t="s">
        <v>443</v>
      </c>
      <c r="C346" s="29" t="s">
        <v>444</v>
      </c>
      <c r="D346" s="30" t="s">
        <v>438</v>
      </c>
      <c r="E346" s="28">
        <v>19320</v>
      </c>
      <c r="F346" s="5"/>
      <c r="G346" s="17"/>
    </row>
    <row r="347" spans="1:7" s="4" customFormat="1" ht="18.75" x14ac:dyDescent="0.25">
      <c r="A347" s="28">
        <f t="shared" si="7"/>
        <v>320</v>
      </c>
      <c r="B347" s="33" t="s">
        <v>445</v>
      </c>
      <c r="C347" s="29" t="s">
        <v>446</v>
      </c>
      <c r="D347" s="30" t="s">
        <v>438</v>
      </c>
      <c r="E347" s="28">
        <v>19320</v>
      </c>
      <c r="F347" s="5"/>
      <c r="G347" s="17"/>
    </row>
    <row r="348" spans="1:7" s="4" customFormat="1" ht="18.75" x14ac:dyDescent="0.25">
      <c r="A348" s="28">
        <f t="shared" si="7"/>
        <v>321</v>
      </c>
      <c r="B348" s="33" t="s">
        <v>447</v>
      </c>
      <c r="C348" s="29" t="s">
        <v>448</v>
      </c>
      <c r="D348" s="30" t="s">
        <v>438</v>
      </c>
      <c r="E348" s="28">
        <v>25680</v>
      </c>
      <c r="F348" s="5"/>
      <c r="G348" s="17"/>
    </row>
    <row r="349" spans="1:7" s="4" customFormat="1" ht="18.75" x14ac:dyDescent="0.25">
      <c r="A349" s="28">
        <f t="shared" si="7"/>
        <v>322</v>
      </c>
      <c r="B349" s="29" t="s">
        <v>449</v>
      </c>
      <c r="C349" s="29" t="s">
        <v>442</v>
      </c>
      <c r="D349" s="30" t="s">
        <v>438</v>
      </c>
      <c r="E349" s="28">
        <v>51360</v>
      </c>
      <c r="F349" s="5"/>
      <c r="G349" s="17"/>
    </row>
    <row r="350" spans="1:7" s="4" customFormat="1" ht="18.75" x14ac:dyDescent="0.25">
      <c r="A350" s="28">
        <f t="shared" si="7"/>
        <v>323</v>
      </c>
      <c r="B350" s="29" t="s">
        <v>450</v>
      </c>
      <c r="C350" s="29" t="s">
        <v>444</v>
      </c>
      <c r="D350" s="30" t="s">
        <v>438</v>
      </c>
      <c r="E350" s="28">
        <v>32160</v>
      </c>
      <c r="F350" s="5"/>
      <c r="G350" s="17"/>
    </row>
    <row r="351" spans="1:7" s="4" customFormat="1" ht="18.75" x14ac:dyDescent="0.25">
      <c r="A351" s="28">
        <f t="shared" si="7"/>
        <v>324</v>
      </c>
      <c r="B351" s="29" t="s">
        <v>451</v>
      </c>
      <c r="C351" s="29" t="s">
        <v>452</v>
      </c>
      <c r="D351" s="30" t="s">
        <v>438</v>
      </c>
      <c r="E351" s="28">
        <v>51360</v>
      </c>
      <c r="F351" s="5"/>
      <c r="G351" s="17"/>
    </row>
    <row r="352" spans="1:7" s="4" customFormat="1" ht="18.75" x14ac:dyDescent="0.25">
      <c r="A352" s="28">
        <f t="shared" si="7"/>
        <v>325</v>
      </c>
      <c r="B352" s="29" t="s">
        <v>453</v>
      </c>
      <c r="C352" s="29" t="s">
        <v>454</v>
      </c>
      <c r="D352" s="30" t="s">
        <v>438</v>
      </c>
      <c r="E352" s="28">
        <v>51360</v>
      </c>
      <c r="F352" s="5"/>
      <c r="G352" s="17"/>
    </row>
    <row r="353" spans="1:7" s="4" customFormat="1" ht="18.75" x14ac:dyDescent="0.25">
      <c r="A353" s="28">
        <f t="shared" si="7"/>
        <v>326</v>
      </c>
      <c r="B353" s="29" t="s">
        <v>455</v>
      </c>
      <c r="C353" s="29" t="s">
        <v>456</v>
      </c>
      <c r="D353" s="30" t="s">
        <v>438</v>
      </c>
      <c r="E353" s="28">
        <v>6480</v>
      </c>
      <c r="F353" s="5"/>
      <c r="G353" s="17"/>
    </row>
    <row r="354" spans="1:7" s="4" customFormat="1" ht="18.75" x14ac:dyDescent="0.25">
      <c r="A354" s="28">
        <f t="shared" si="7"/>
        <v>327</v>
      </c>
      <c r="B354" s="29" t="s">
        <v>457</v>
      </c>
      <c r="C354" s="29" t="s">
        <v>456</v>
      </c>
      <c r="D354" s="30" t="s">
        <v>438</v>
      </c>
      <c r="E354" s="28">
        <v>12840</v>
      </c>
      <c r="F354" s="5"/>
      <c r="G354" s="17"/>
    </row>
    <row r="355" spans="1:7" s="4" customFormat="1" ht="18.75" x14ac:dyDescent="0.25">
      <c r="A355" s="28">
        <f t="shared" si="7"/>
        <v>328</v>
      </c>
      <c r="B355" s="29" t="s">
        <v>458</v>
      </c>
      <c r="C355" s="29"/>
      <c r="D355" s="30" t="s">
        <v>438</v>
      </c>
      <c r="E355" s="28">
        <v>38520</v>
      </c>
      <c r="F355" s="5"/>
      <c r="G355" s="17"/>
    </row>
    <row r="356" spans="1:7" s="4" customFormat="1" ht="25.5" x14ac:dyDescent="0.25">
      <c r="A356" s="28">
        <f t="shared" si="7"/>
        <v>329</v>
      </c>
      <c r="B356" s="29" t="s">
        <v>459</v>
      </c>
      <c r="C356" s="29" t="s">
        <v>388</v>
      </c>
      <c r="D356" s="30" t="s">
        <v>438</v>
      </c>
      <c r="E356" s="28">
        <v>51360</v>
      </c>
      <c r="F356" s="5"/>
      <c r="G356" s="17"/>
    </row>
    <row r="357" spans="1:7" s="4" customFormat="1" ht="25.5" x14ac:dyDescent="0.25">
      <c r="A357" s="28">
        <f t="shared" si="7"/>
        <v>330</v>
      </c>
      <c r="B357" s="29" t="s">
        <v>460</v>
      </c>
      <c r="C357" s="29" t="s">
        <v>437</v>
      </c>
      <c r="D357" s="30" t="s">
        <v>438</v>
      </c>
      <c r="E357" s="28">
        <v>51360</v>
      </c>
      <c r="F357" s="5"/>
      <c r="G357" s="17"/>
    </row>
    <row r="358" spans="1:7" s="4" customFormat="1" ht="18.75" x14ac:dyDescent="0.25">
      <c r="A358" s="28">
        <f t="shared" si="7"/>
        <v>331</v>
      </c>
      <c r="B358" s="29" t="s">
        <v>461</v>
      </c>
      <c r="C358" s="29" t="s">
        <v>462</v>
      </c>
      <c r="D358" s="30" t="s">
        <v>438</v>
      </c>
      <c r="E358" s="28">
        <v>32160</v>
      </c>
      <c r="F358" s="5"/>
      <c r="G358" s="17"/>
    </row>
    <row r="359" spans="1:7" s="4" customFormat="1" ht="24" customHeight="1" x14ac:dyDescent="0.25">
      <c r="A359" s="28">
        <f t="shared" si="7"/>
        <v>332</v>
      </c>
      <c r="B359" s="29" t="s">
        <v>463</v>
      </c>
      <c r="C359" s="29" t="s">
        <v>440</v>
      </c>
      <c r="D359" s="30" t="s">
        <v>438</v>
      </c>
      <c r="E359" s="28">
        <v>38520</v>
      </c>
      <c r="F359" s="5"/>
      <c r="G359" s="17"/>
    </row>
    <row r="360" spans="1:7" s="4" customFormat="1" ht="18.75" x14ac:dyDescent="0.25">
      <c r="A360" s="28">
        <f t="shared" si="7"/>
        <v>333</v>
      </c>
      <c r="B360" s="33" t="s">
        <v>433</v>
      </c>
      <c r="C360" s="29" t="s">
        <v>434</v>
      </c>
      <c r="D360" s="30" t="s">
        <v>356</v>
      </c>
      <c r="E360" s="28">
        <v>5160</v>
      </c>
      <c r="F360" s="5"/>
      <c r="G360" s="17"/>
    </row>
    <row r="361" spans="1:7" s="4" customFormat="1" ht="18.75" x14ac:dyDescent="0.25">
      <c r="A361" s="28">
        <f t="shared" si="7"/>
        <v>334</v>
      </c>
      <c r="B361" s="33" t="s">
        <v>435</v>
      </c>
      <c r="C361" s="29" t="s">
        <v>434</v>
      </c>
      <c r="D361" s="30" t="s">
        <v>356</v>
      </c>
      <c r="E361" s="28">
        <v>10320</v>
      </c>
      <c r="F361" s="5"/>
      <c r="G361" s="17"/>
    </row>
    <row r="362" spans="1:7" s="4" customFormat="1" ht="18.75" customHeight="1" x14ac:dyDescent="0.25">
      <c r="A362" s="139" t="s">
        <v>464</v>
      </c>
      <c r="B362" s="140"/>
      <c r="C362" s="140"/>
      <c r="D362" s="140"/>
      <c r="E362" s="141"/>
      <c r="F362" s="5"/>
      <c r="G362" s="17"/>
    </row>
    <row r="363" spans="1:7" s="4" customFormat="1" ht="18.75" x14ac:dyDescent="0.25">
      <c r="A363" s="28">
        <f>A361+1</f>
        <v>335</v>
      </c>
      <c r="B363" s="29" t="s">
        <v>465</v>
      </c>
      <c r="C363" s="28" t="s">
        <v>466</v>
      </c>
      <c r="D363" s="28" t="s">
        <v>467</v>
      </c>
      <c r="E363" s="28">
        <v>359520</v>
      </c>
      <c r="F363" s="5"/>
      <c r="G363" s="17"/>
    </row>
    <row r="364" spans="1:7" s="4" customFormat="1" ht="25.5" x14ac:dyDescent="0.25">
      <c r="A364" s="28">
        <f>A363+1</f>
        <v>336</v>
      </c>
      <c r="B364" s="29" t="s">
        <v>468</v>
      </c>
      <c r="C364" s="37" t="s">
        <v>361</v>
      </c>
      <c r="D364" s="28" t="s">
        <v>352</v>
      </c>
      <c r="E364" s="28">
        <v>12840</v>
      </c>
      <c r="F364" s="5"/>
      <c r="G364" s="17"/>
    </row>
    <row r="365" spans="1:7" s="4" customFormat="1" ht="25.5" x14ac:dyDescent="0.25">
      <c r="A365" s="28">
        <f t="shared" ref="A365:A373" si="8">A364+1</f>
        <v>337</v>
      </c>
      <c r="B365" s="29" t="s">
        <v>469</v>
      </c>
      <c r="C365" s="37" t="s">
        <v>470</v>
      </c>
      <c r="D365" s="28" t="s">
        <v>352</v>
      </c>
      <c r="E365" s="28">
        <v>20640</v>
      </c>
      <c r="F365" s="5"/>
      <c r="G365" s="17"/>
    </row>
    <row r="366" spans="1:7" s="4" customFormat="1" ht="25.5" x14ac:dyDescent="0.25">
      <c r="A366" s="28">
        <f t="shared" si="8"/>
        <v>338</v>
      </c>
      <c r="B366" s="38" t="s">
        <v>471</v>
      </c>
      <c r="C366" s="39" t="s">
        <v>472</v>
      </c>
      <c r="D366" s="40" t="s">
        <v>352</v>
      </c>
      <c r="E366" s="28">
        <v>28320</v>
      </c>
      <c r="F366" s="5"/>
      <c r="G366" s="17"/>
    </row>
    <row r="367" spans="1:7" s="4" customFormat="1" ht="18.75" x14ac:dyDescent="0.25">
      <c r="A367" s="28">
        <f t="shared" si="8"/>
        <v>339</v>
      </c>
      <c r="B367" s="38" t="s">
        <v>473</v>
      </c>
      <c r="C367" s="39" t="s">
        <v>474</v>
      </c>
      <c r="D367" s="40" t="s">
        <v>352</v>
      </c>
      <c r="E367" s="28">
        <v>28320</v>
      </c>
      <c r="F367" s="5"/>
      <c r="G367" s="17"/>
    </row>
    <row r="368" spans="1:7" s="4" customFormat="1" ht="25.5" x14ac:dyDescent="0.25">
      <c r="A368" s="28">
        <f t="shared" si="8"/>
        <v>340</v>
      </c>
      <c r="B368" s="38" t="s">
        <v>475</v>
      </c>
      <c r="C368" s="40" t="s">
        <v>476</v>
      </c>
      <c r="D368" s="40" t="s">
        <v>352</v>
      </c>
      <c r="E368" s="28">
        <v>45000</v>
      </c>
      <c r="F368" s="5"/>
      <c r="G368" s="17"/>
    </row>
    <row r="369" spans="1:7" s="4" customFormat="1" ht="25.5" x14ac:dyDescent="0.25">
      <c r="A369" s="28">
        <f t="shared" si="8"/>
        <v>341</v>
      </c>
      <c r="B369" s="38" t="s">
        <v>477</v>
      </c>
      <c r="C369" s="40" t="s">
        <v>476</v>
      </c>
      <c r="D369" s="40" t="s">
        <v>352</v>
      </c>
      <c r="E369" s="28">
        <v>56400</v>
      </c>
      <c r="F369" s="5"/>
      <c r="G369" s="17"/>
    </row>
    <row r="370" spans="1:7" s="4" customFormat="1" ht="25.5" x14ac:dyDescent="0.25">
      <c r="A370" s="28">
        <f t="shared" si="8"/>
        <v>342</v>
      </c>
      <c r="B370" s="38" t="s">
        <v>478</v>
      </c>
      <c r="C370" s="40" t="s">
        <v>476</v>
      </c>
      <c r="D370" s="40" t="s">
        <v>352</v>
      </c>
      <c r="E370" s="28">
        <v>67800</v>
      </c>
      <c r="F370" s="5"/>
      <c r="G370" s="17"/>
    </row>
    <row r="371" spans="1:7" s="4" customFormat="1" ht="25.5" x14ac:dyDescent="0.25">
      <c r="A371" s="28">
        <f t="shared" si="8"/>
        <v>343</v>
      </c>
      <c r="B371" s="38" t="s">
        <v>479</v>
      </c>
      <c r="C371" s="40" t="s">
        <v>476</v>
      </c>
      <c r="D371" s="40" t="s">
        <v>352</v>
      </c>
      <c r="E371" s="28">
        <v>45000</v>
      </c>
      <c r="F371" s="5"/>
      <c r="G371" s="17"/>
    </row>
    <row r="372" spans="1:7" s="4" customFormat="1" ht="25.5" x14ac:dyDescent="0.25">
      <c r="A372" s="28">
        <f t="shared" si="8"/>
        <v>344</v>
      </c>
      <c r="B372" s="38" t="s">
        <v>480</v>
      </c>
      <c r="C372" s="40" t="s">
        <v>476</v>
      </c>
      <c r="D372" s="40" t="s">
        <v>352</v>
      </c>
      <c r="E372" s="28">
        <v>56400</v>
      </c>
      <c r="F372" s="5"/>
      <c r="G372" s="17"/>
    </row>
    <row r="373" spans="1:7" s="4" customFormat="1" ht="25.5" x14ac:dyDescent="0.25">
      <c r="A373" s="28">
        <f t="shared" si="8"/>
        <v>345</v>
      </c>
      <c r="B373" s="38" t="s">
        <v>481</v>
      </c>
      <c r="C373" s="40" t="s">
        <v>476</v>
      </c>
      <c r="D373" s="40" t="s">
        <v>352</v>
      </c>
      <c r="E373" s="28">
        <v>67800</v>
      </c>
      <c r="F373" s="5"/>
      <c r="G373" s="17"/>
    </row>
    <row r="374" spans="1:7" s="4" customFormat="1" ht="18.75" customHeight="1" x14ac:dyDescent="0.25">
      <c r="A374" s="139" t="s">
        <v>482</v>
      </c>
      <c r="B374" s="140"/>
      <c r="C374" s="140"/>
      <c r="D374" s="140"/>
      <c r="E374" s="141"/>
      <c r="F374" s="5"/>
      <c r="G374" s="17"/>
    </row>
    <row r="375" spans="1:7" s="14" customFormat="1" ht="18.75" x14ac:dyDescent="0.25">
      <c r="A375" s="28">
        <f>A373+1</f>
        <v>346</v>
      </c>
      <c r="B375" s="33" t="s">
        <v>483</v>
      </c>
      <c r="C375" s="28" t="s">
        <v>484</v>
      </c>
      <c r="D375" s="30" t="s">
        <v>356</v>
      </c>
      <c r="E375" s="28">
        <v>8400</v>
      </c>
      <c r="F375" s="5"/>
      <c r="G375" s="17"/>
    </row>
    <row r="376" spans="1:7" s="11" customFormat="1" ht="18.75" x14ac:dyDescent="0.25">
      <c r="A376" s="28">
        <f>A375+1</f>
        <v>347</v>
      </c>
      <c r="B376" s="33" t="s">
        <v>485</v>
      </c>
      <c r="C376" s="28" t="s">
        <v>486</v>
      </c>
      <c r="D376" s="30" t="s">
        <v>356</v>
      </c>
      <c r="E376" s="28">
        <v>6480</v>
      </c>
      <c r="F376" s="5"/>
      <c r="G376" s="17"/>
    </row>
    <row r="377" spans="1:7" s="4" customFormat="1" ht="18.75" customHeight="1" x14ac:dyDescent="0.25">
      <c r="A377" s="139" t="s">
        <v>487</v>
      </c>
      <c r="B377" s="140"/>
      <c r="C377" s="140"/>
      <c r="D377" s="140"/>
      <c r="E377" s="141"/>
      <c r="F377" s="5"/>
      <c r="G377" s="17"/>
    </row>
    <row r="378" spans="1:7" ht="18.75" x14ac:dyDescent="0.25">
      <c r="A378" s="28">
        <f>A376+1</f>
        <v>348</v>
      </c>
      <c r="B378" s="33" t="s">
        <v>488</v>
      </c>
      <c r="C378" s="28" t="s">
        <v>489</v>
      </c>
      <c r="D378" s="30" t="s">
        <v>490</v>
      </c>
      <c r="E378" s="28">
        <v>12840</v>
      </c>
      <c r="F378" s="5"/>
      <c r="G378" s="17"/>
    </row>
    <row r="379" spans="1:7" s="4" customFormat="1" ht="18.75" customHeight="1" x14ac:dyDescent="0.25">
      <c r="A379" s="139" t="s">
        <v>491</v>
      </c>
      <c r="B379" s="140"/>
      <c r="C379" s="140"/>
      <c r="D379" s="140"/>
      <c r="E379" s="141"/>
      <c r="F379" s="5"/>
      <c r="G379" s="17"/>
    </row>
    <row r="380" spans="1:7" s="4" customFormat="1" ht="18.75" x14ac:dyDescent="0.25">
      <c r="A380" s="28">
        <f>A378+1</f>
        <v>349</v>
      </c>
      <c r="B380" s="38" t="s">
        <v>492</v>
      </c>
      <c r="C380" s="39" t="s">
        <v>493</v>
      </c>
      <c r="D380" s="41" t="s">
        <v>356</v>
      </c>
      <c r="E380" s="28">
        <v>32160</v>
      </c>
      <c r="F380" s="5"/>
      <c r="G380" s="17"/>
    </row>
    <row r="381" spans="1:7" s="4" customFormat="1" ht="25.5" x14ac:dyDescent="0.25">
      <c r="A381" s="28">
        <f>A380+1</f>
        <v>350</v>
      </c>
      <c r="B381" s="38" t="s">
        <v>494</v>
      </c>
      <c r="C381" s="40" t="s">
        <v>495</v>
      </c>
      <c r="D381" s="41" t="s">
        <v>356</v>
      </c>
      <c r="E381" s="28">
        <v>32160</v>
      </c>
      <c r="F381" s="5"/>
      <c r="G381" s="17"/>
    </row>
    <row r="382" spans="1:7" s="4" customFormat="1" ht="18.75" x14ac:dyDescent="0.25">
      <c r="A382" s="28">
        <f t="shared" ref="A382:A410" si="9">A381+1</f>
        <v>351</v>
      </c>
      <c r="B382" s="33" t="s">
        <v>496</v>
      </c>
      <c r="C382" s="28" t="s">
        <v>497</v>
      </c>
      <c r="D382" s="30" t="s">
        <v>467</v>
      </c>
      <c r="E382" s="28">
        <v>10920</v>
      </c>
      <c r="F382" s="5"/>
      <c r="G382" s="17"/>
    </row>
    <row r="383" spans="1:7" s="4" customFormat="1" ht="18.75" x14ac:dyDescent="0.25">
      <c r="A383" s="28">
        <f t="shared" si="9"/>
        <v>352</v>
      </c>
      <c r="B383" s="33" t="s">
        <v>498</v>
      </c>
      <c r="C383" s="28" t="s">
        <v>499</v>
      </c>
      <c r="D383" s="41" t="s">
        <v>356</v>
      </c>
      <c r="E383" s="28">
        <v>77040</v>
      </c>
      <c r="F383" s="5"/>
      <c r="G383" s="17"/>
    </row>
    <row r="384" spans="1:7" s="4" customFormat="1" ht="26.25" customHeight="1" x14ac:dyDescent="0.25">
      <c r="A384" s="28">
        <f t="shared" si="9"/>
        <v>353</v>
      </c>
      <c r="B384" s="33" t="s">
        <v>500</v>
      </c>
      <c r="C384" s="28" t="s">
        <v>499</v>
      </c>
      <c r="D384" s="41" t="s">
        <v>356</v>
      </c>
      <c r="E384" s="28">
        <v>231120</v>
      </c>
      <c r="F384" s="5"/>
      <c r="G384" s="17"/>
    </row>
    <row r="385" spans="1:7" s="4" customFormat="1" ht="18.75" x14ac:dyDescent="0.25">
      <c r="A385" s="28">
        <f t="shared" si="9"/>
        <v>354</v>
      </c>
      <c r="B385" s="33" t="s">
        <v>501</v>
      </c>
      <c r="C385" s="28" t="s">
        <v>502</v>
      </c>
      <c r="D385" s="30" t="s">
        <v>467</v>
      </c>
      <c r="E385" s="28">
        <v>2880</v>
      </c>
      <c r="F385" s="5"/>
      <c r="G385" s="17"/>
    </row>
    <row r="386" spans="1:7" s="4" customFormat="1" ht="18.75" x14ac:dyDescent="0.25">
      <c r="A386" s="28">
        <f t="shared" si="9"/>
        <v>355</v>
      </c>
      <c r="B386" s="33" t="s">
        <v>503</v>
      </c>
      <c r="C386" s="28" t="s">
        <v>504</v>
      </c>
      <c r="D386" s="30" t="s">
        <v>467</v>
      </c>
      <c r="E386" s="28">
        <v>2880</v>
      </c>
      <c r="F386" s="5"/>
      <c r="G386" s="17"/>
    </row>
    <row r="387" spans="1:7" s="4" customFormat="1" ht="18.75" x14ac:dyDescent="0.25">
      <c r="A387" s="28">
        <f t="shared" si="9"/>
        <v>356</v>
      </c>
      <c r="B387" s="42" t="s">
        <v>505</v>
      </c>
      <c r="C387" s="28"/>
      <c r="D387" s="43" t="s">
        <v>467</v>
      </c>
      <c r="E387" s="28">
        <v>3960</v>
      </c>
      <c r="F387" s="5"/>
      <c r="G387" s="17"/>
    </row>
    <row r="388" spans="1:7" s="4" customFormat="1" ht="18.75" x14ac:dyDescent="0.25">
      <c r="A388" s="28">
        <f t="shared" si="9"/>
        <v>357</v>
      </c>
      <c r="B388" s="33" t="s">
        <v>506</v>
      </c>
      <c r="C388" s="28" t="s">
        <v>470</v>
      </c>
      <c r="D388" s="30" t="s">
        <v>467</v>
      </c>
      <c r="E388" s="28">
        <v>2880</v>
      </c>
      <c r="F388" s="5"/>
      <c r="G388" s="17"/>
    </row>
    <row r="389" spans="1:7" s="4" customFormat="1" ht="18.75" x14ac:dyDescent="0.25">
      <c r="A389" s="28">
        <f t="shared" si="9"/>
        <v>358</v>
      </c>
      <c r="B389" s="29" t="s">
        <v>507</v>
      </c>
      <c r="C389" s="28" t="s">
        <v>508</v>
      </c>
      <c r="D389" s="28" t="s">
        <v>490</v>
      </c>
      <c r="E389" s="28">
        <v>25680</v>
      </c>
      <c r="F389" s="5"/>
      <c r="G389" s="17"/>
    </row>
    <row r="390" spans="1:7" s="4" customFormat="1" ht="25.5" x14ac:dyDescent="0.25">
      <c r="A390" s="28">
        <f t="shared" si="9"/>
        <v>359</v>
      </c>
      <c r="B390" s="38" t="s">
        <v>509</v>
      </c>
      <c r="C390" s="39" t="s">
        <v>510</v>
      </c>
      <c r="D390" s="41" t="s">
        <v>438</v>
      </c>
      <c r="E390" s="28">
        <v>89880</v>
      </c>
      <c r="F390" s="5"/>
      <c r="G390" s="17"/>
    </row>
    <row r="391" spans="1:7" s="4" customFormat="1" ht="25.5" x14ac:dyDescent="0.25">
      <c r="A391" s="28">
        <f t="shared" si="9"/>
        <v>360</v>
      </c>
      <c r="B391" s="38" t="s">
        <v>511</v>
      </c>
      <c r="C391" s="39" t="s">
        <v>510</v>
      </c>
      <c r="D391" s="41" t="s">
        <v>438</v>
      </c>
      <c r="E391" s="28">
        <v>51360</v>
      </c>
      <c r="F391" s="5"/>
      <c r="G391" s="17"/>
    </row>
    <row r="392" spans="1:7" s="4" customFormat="1" ht="18.75" x14ac:dyDescent="0.25">
      <c r="A392" s="28">
        <f t="shared" si="9"/>
        <v>361</v>
      </c>
      <c r="B392" s="38" t="s">
        <v>512</v>
      </c>
      <c r="C392" s="37"/>
      <c r="D392" s="41" t="s">
        <v>438</v>
      </c>
      <c r="E392" s="28">
        <v>32160</v>
      </c>
      <c r="F392" s="5"/>
      <c r="G392" s="17"/>
    </row>
    <row r="393" spans="1:7" s="4" customFormat="1" ht="18.75" x14ac:dyDescent="0.25">
      <c r="A393" s="28">
        <f t="shared" si="9"/>
        <v>362</v>
      </c>
      <c r="B393" s="38" t="s">
        <v>513</v>
      </c>
      <c r="C393" s="39" t="s">
        <v>514</v>
      </c>
      <c r="D393" s="41" t="s">
        <v>438</v>
      </c>
      <c r="E393" s="28">
        <v>57840</v>
      </c>
      <c r="F393" s="5"/>
      <c r="G393" s="17"/>
    </row>
    <row r="394" spans="1:7" s="4" customFormat="1" ht="18.75" x14ac:dyDescent="0.25">
      <c r="A394" s="28">
        <f t="shared" si="9"/>
        <v>363</v>
      </c>
      <c r="B394" s="38" t="s">
        <v>515</v>
      </c>
      <c r="C394" s="39" t="s">
        <v>516</v>
      </c>
      <c r="D394" s="41" t="s">
        <v>438</v>
      </c>
      <c r="E394" s="28">
        <v>42480</v>
      </c>
      <c r="F394" s="5"/>
      <c r="G394" s="17"/>
    </row>
    <row r="395" spans="1:7" s="4" customFormat="1" ht="18.75" customHeight="1" x14ac:dyDescent="0.25">
      <c r="A395" s="28">
        <f t="shared" si="9"/>
        <v>364</v>
      </c>
      <c r="B395" s="42" t="s">
        <v>517</v>
      </c>
      <c r="C395" s="28" t="s">
        <v>518</v>
      </c>
      <c r="D395" s="43" t="s">
        <v>467</v>
      </c>
      <c r="E395" s="28">
        <v>19320</v>
      </c>
      <c r="F395" s="5"/>
      <c r="G395" s="17"/>
    </row>
    <row r="396" spans="1:7" s="4" customFormat="1" ht="22.5" customHeight="1" x14ac:dyDescent="0.25">
      <c r="A396" s="28">
        <f t="shared" si="9"/>
        <v>365</v>
      </c>
      <c r="B396" s="38" t="s">
        <v>519</v>
      </c>
      <c r="C396" s="40" t="s">
        <v>520</v>
      </c>
      <c r="D396" s="41" t="s">
        <v>467</v>
      </c>
      <c r="E396" s="28">
        <v>12840</v>
      </c>
      <c r="F396" s="5"/>
      <c r="G396" s="17"/>
    </row>
    <row r="397" spans="1:7" s="4" customFormat="1" ht="20.25" customHeight="1" x14ac:dyDescent="0.2">
      <c r="A397" s="28">
        <f t="shared" si="9"/>
        <v>366</v>
      </c>
      <c r="B397" s="44" t="s">
        <v>3080</v>
      </c>
      <c r="C397" s="40" t="s">
        <v>521</v>
      </c>
      <c r="D397" s="41" t="s">
        <v>467</v>
      </c>
      <c r="E397" s="28">
        <v>10320</v>
      </c>
      <c r="F397" s="5"/>
      <c r="G397" s="17"/>
    </row>
    <row r="398" spans="1:7" s="4" customFormat="1" ht="31.5" customHeight="1" x14ac:dyDescent="0.25">
      <c r="A398" s="28">
        <f t="shared" si="9"/>
        <v>367</v>
      </c>
      <c r="B398" s="38" t="s">
        <v>522</v>
      </c>
      <c r="C398" s="40" t="s">
        <v>523</v>
      </c>
      <c r="D398" s="41" t="s">
        <v>356</v>
      </c>
      <c r="E398" s="28">
        <v>128400</v>
      </c>
      <c r="F398" s="5"/>
      <c r="G398" s="17"/>
    </row>
    <row r="399" spans="1:7" s="4" customFormat="1" ht="18.75" customHeight="1" x14ac:dyDescent="0.2">
      <c r="A399" s="28">
        <f t="shared" si="9"/>
        <v>368</v>
      </c>
      <c r="B399" s="45" t="s">
        <v>524</v>
      </c>
      <c r="C399" s="40" t="s">
        <v>525</v>
      </c>
      <c r="D399" s="28" t="s">
        <v>356</v>
      </c>
      <c r="E399" s="28">
        <v>38520</v>
      </c>
      <c r="F399" s="5"/>
      <c r="G399" s="17"/>
    </row>
    <row r="400" spans="1:7" s="4" customFormat="1" ht="18.75" x14ac:dyDescent="0.2">
      <c r="A400" s="28">
        <f t="shared" si="9"/>
        <v>369</v>
      </c>
      <c r="B400" s="45" t="s">
        <v>526</v>
      </c>
      <c r="C400" s="40" t="s">
        <v>527</v>
      </c>
      <c r="D400" s="28" t="s">
        <v>356</v>
      </c>
      <c r="E400" s="28">
        <v>57840</v>
      </c>
      <c r="F400" s="5"/>
      <c r="G400" s="17"/>
    </row>
    <row r="401" spans="1:7" s="4" customFormat="1" ht="25.5" x14ac:dyDescent="0.2">
      <c r="A401" s="28">
        <f t="shared" si="9"/>
        <v>370</v>
      </c>
      <c r="B401" s="45" t="s">
        <v>528</v>
      </c>
      <c r="C401" s="40" t="s">
        <v>529</v>
      </c>
      <c r="D401" s="28" t="s">
        <v>356</v>
      </c>
      <c r="E401" s="28">
        <v>102720</v>
      </c>
      <c r="F401" s="5"/>
      <c r="G401" s="17"/>
    </row>
    <row r="402" spans="1:7" s="4" customFormat="1" ht="18.75" x14ac:dyDescent="0.25">
      <c r="A402" s="28">
        <f t="shared" si="9"/>
        <v>371</v>
      </c>
      <c r="B402" s="29" t="s">
        <v>530</v>
      </c>
      <c r="C402" s="28" t="s">
        <v>531</v>
      </c>
      <c r="D402" s="28" t="s">
        <v>356</v>
      </c>
      <c r="E402" s="28">
        <v>6360</v>
      </c>
      <c r="F402" s="5"/>
      <c r="G402" s="17"/>
    </row>
    <row r="403" spans="1:7" s="4" customFormat="1" ht="18.75" x14ac:dyDescent="0.25">
      <c r="A403" s="28">
        <f t="shared" si="9"/>
        <v>372</v>
      </c>
      <c r="B403" s="38" t="s">
        <v>532</v>
      </c>
      <c r="C403" s="39" t="s">
        <v>518</v>
      </c>
      <c r="D403" s="41" t="s">
        <v>356</v>
      </c>
      <c r="E403" s="28">
        <v>19320</v>
      </c>
      <c r="F403" s="5"/>
      <c r="G403" s="17"/>
    </row>
    <row r="404" spans="1:7" s="4" customFormat="1" ht="18.75" x14ac:dyDescent="0.25">
      <c r="A404" s="28">
        <f t="shared" si="9"/>
        <v>373</v>
      </c>
      <c r="B404" s="38" t="s">
        <v>533</v>
      </c>
      <c r="C404" s="39" t="s">
        <v>527</v>
      </c>
      <c r="D404" s="41" t="s">
        <v>356</v>
      </c>
      <c r="E404" s="28">
        <v>12840</v>
      </c>
      <c r="F404" s="5"/>
      <c r="G404" s="17"/>
    </row>
    <row r="405" spans="1:7" s="4" customFormat="1" ht="18.75" x14ac:dyDescent="0.25">
      <c r="A405" s="28">
        <f t="shared" si="9"/>
        <v>374</v>
      </c>
      <c r="B405" s="29" t="s">
        <v>534</v>
      </c>
      <c r="C405" s="28" t="s">
        <v>535</v>
      </c>
      <c r="D405" s="28" t="s">
        <v>356</v>
      </c>
      <c r="E405" s="28">
        <v>4200</v>
      </c>
      <c r="F405" s="5"/>
      <c r="G405" s="17"/>
    </row>
    <row r="406" spans="1:7" s="4" customFormat="1" ht="18.75" x14ac:dyDescent="0.25">
      <c r="A406" s="28">
        <f t="shared" si="9"/>
        <v>375</v>
      </c>
      <c r="B406" s="42" t="s">
        <v>536</v>
      </c>
      <c r="C406" s="28" t="s">
        <v>537</v>
      </c>
      <c r="D406" s="43" t="s">
        <v>467</v>
      </c>
      <c r="E406" s="28">
        <v>10920</v>
      </c>
      <c r="F406" s="5"/>
      <c r="G406" s="17"/>
    </row>
    <row r="407" spans="1:7" s="4" customFormat="1" ht="18.75" x14ac:dyDescent="0.25">
      <c r="A407" s="28">
        <f t="shared" si="9"/>
        <v>376</v>
      </c>
      <c r="B407" s="38" t="s">
        <v>538</v>
      </c>
      <c r="C407" s="39" t="s">
        <v>539</v>
      </c>
      <c r="D407" s="41" t="s">
        <v>438</v>
      </c>
      <c r="E407" s="28">
        <v>25680</v>
      </c>
      <c r="F407" s="5"/>
      <c r="G407" s="17"/>
    </row>
    <row r="408" spans="1:7" s="4" customFormat="1" ht="30.75" customHeight="1" x14ac:dyDescent="0.25">
      <c r="A408" s="28">
        <f t="shared" si="9"/>
        <v>377</v>
      </c>
      <c r="B408" s="38" t="s">
        <v>540</v>
      </c>
      <c r="C408" s="39" t="s">
        <v>541</v>
      </c>
      <c r="D408" s="41" t="s">
        <v>490</v>
      </c>
      <c r="E408" s="28">
        <v>5160</v>
      </c>
      <c r="F408" s="5"/>
      <c r="G408" s="17"/>
    </row>
    <row r="409" spans="1:7" s="4" customFormat="1" ht="18.75" x14ac:dyDescent="0.25">
      <c r="A409" s="28">
        <f>A408+1</f>
        <v>378</v>
      </c>
      <c r="B409" s="42" t="s">
        <v>542</v>
      </c>
      <c r="C409" s="28" t="s">
        <v>543</v>
      </c>
      <c r="D409" s="43" t="s">
        <v>467</v>
      </c>
      <c r="E409" s="28">
        <v>12840</v>
      </c>
      <c r="F409" s="5"/>
      <c r="G409" s="17"/>
    </row>
    <row r="410" spans="1:7" s="4" customFormat="1" ht="25.5" x14ac:dyDescent="0.25">
      <c r="A410" s="28">
        <f t="shared" si="9"/>
        <v>379</v>
      </c>
      <c r="B410" s="42" t="s">
        <v>544</v>
      </c>
      <c r="C410" s="28" t="s">
        <v>543</v>
      </c>
      <c r="D410" s="43" t="s">
        <v>467</v>
      </c>
      <c r="E410" s="28">
        <v>77040</v>
      </c>
      <c r="F410" s="5"/>
      <c r="G410" s="17"/>
    </row>
    <row r="411" spans="1:7" s="4" customFormat="1" ht="25.5" x14ac:dyDescent="0.25">
      <c r="A411" s="28">
        <f>A410+1</f>
        <v>380</v>
      </c>
      <c r="B411" s="42" t="s">
        <v>545</v>
      </c>
      <c r="C411" s="28" t="s">
        <v>543</v>
      </c>
      <c r="D411" s="43" t="s">
        <v>467</v>
      </c>
      <c r="E411" s="28">
        <v>97680</v>
      </c>
      <c r="F411" s="5"/>
      <c r="G411" s="17"/>
    </row>
    <row r="412" spans="1:7" s="4" customFormat="1" ht="25.5" x14ac:dyDescent="0.25">
      <c r="A412" s="28">
        <f>A411+1</f>
        <v>381</v>
      </c>
      <c r="B412" s="42" t="s">
        <v>546</v>
      </c>
      <c r="C412" s="28" t="s">
        <v>543</v>
      </c>
      <c r="D412" s="43" t="s">
        <v>467</v>
      </c>
      <c r="E412" s="28">
        <v>115560</v>
      </c>
      <c r="F412" s="5"/>
      <c r="G412" s="17"/>
    </row>
    <row r="413" spans="1:7" s="4" customFormat="1" ht="18.75" customHeight="1" x14ac:dyDescent="0.25">
      <c r="A413" s="139" t="s">
        <v>547</v>
      </c>
      <c r="B413" s="140"/>
      <c r="C413" s="140"/>
      <c r="D413" s="140"/>
      <c r="E413" s="141"/>
      <c r="F413" s="5"/>
      <c r="G413" s="17"/>
    </row>
    <row r="414" spans="1:7" s="4" customFormat="1" ht="18.75" x14ac:dyDescent="0.25">
      <c r="A414" s="28">
        <f>A412+1</f>
        <v>382</v>
      </c>
      <c r="B414" s="29" t="s">
        <v>548</v>
      </c>
      <c r="C414" s="28" t="s">
        <v>549</v>
      </c>
      <c r="D414" s="28" t="s">
        <v>438</v>
      </c>
      <c r="E414" s="28">
        <v>10920</v>
      </c>
      <c r="F414" s="5"/>
      <c r="G414" s="17"/>
    </row>
    <row r="415" spans="1:7" s="4" customFormat="1" ht="18.75" x14ac:dyDescent="0.25">
      <c r="A415" s="28">
        <f>A414+1</f>
        <v>383</v>
      </c>
      <c r="B415" s="29" t="s">
        <v>550</v>
      </c>
      <c r="C415" s="28" t="s">
        <v>551</v>
      </c>
      <c r="D415" s="28" t="s">
        <v>438</v>
      </c>
      <c r="E415" s="28">
        <v>9000</v>
      </c>
      <c r="F415" s="5"/>
      <c r="G415" s="17"/>
    </row>
    <row r="416" spans="1:7" s="4" customFormat="1" ht="18.75" x14ac:dyDescent="0.25">
      <c r="A416" s="28">
        <f t="shared" ref="A416:A450" si="10">A415+1</f>
        <v>384</v>
      </c>
      <c r="B416" s="29" t="s">
        <v>552</v>
      </c>
      <c r="C416" s="28" t="s">
        <v>553</v>
      </c>
      <c r="D416" s="28" t="s">
        <v>356</v>
      </c>
      <c r="E416" s="28">
        <v>9720</v>
      </c>
      <c r="F416" s="5"/>
      <c r="G416" s="17"/>
    </row>
    <row r="417" spans="1:7" s="4" customFormat="1" ht="18.75" x14ac:dyDescent="0.25">
      <c r="A417" s="28">
        <f t="shared" si="10"/>
        <v>385</v>
      </c>
      <c r="B417" s="29" t="s">
        <v>554</v>
      </c>
      <c r="C417" s="28" t="s">
        <v>555</v>
      </c>
      <c r="D417" s="28" t="s">
        <v>467</v>
      </c>
      <c r="E417" s="28">
        <v>9000</v>
      </c>
      <c r="F417" s="5"/>
      <c r="G417" s="17"/>
    </row>
    <row r="418" spans="1:7" s="4" customFormat="1" ht="18.75" x14ac:dyDescent="0.25">
      <c r="A418" s="28">
        <f t="shared" si="10"/>
        <v>386</v>
      </c>
      <c r="B418" s="29" t="s">
        <v>556</v>
      </c>
      <c r="C418" s="28" t="s">
        <v>557</v>
      </c>
      <c r="D418" s="28" t="s">
        <v>467</v>
      </c>
      <c r="E418" s="28">
        <v>11640</v>
      </c>
      <c r="F418" s="5"/>
      <c r="G418" s="17"/>
    </row>
    <row r="419" spans="1:7" s="4" customFormat="1" ht="18.75" x14ac:dyDescent="0.25">
      <c r="A419" s="28">
        <f t="shared" si="10"/>
        <v>387</v>
      </c>
      <c r="B419" s="29" t="s">
        <v>558</v>
      </c>
      <c r="C419" s="28" t="s">
        <v>559</v>
      </c>
      <c r="D419" s="28" t="s">
        <v>467</v>
      </c>
      <c r="E419" s="28">
        <v>9720</v>
      </c>
      <c r="F419" s="5"/>
      <c r="G419" s="17"/>
    </row>
    <row r="420" spans="1:7" s="4" customFormat="1" ht="18.75" x14ac:dyDescent="0.25">
      <c r="A420" s="28">
        <f t="shared" si="10"/>
        <v>388</v>
      </c>
      <c r="B420" s="29" t="s">
        <v>560</v>
      </c>
      <c r="C420" s="28" t="s">
        <v>561</v>
      </c>
      <c r="D420" s="28" t="s">
        <v>438</v>
      </c>
      <c r="E420" s="28">
        <v>15480</v>
      </c>
      <c r="F420" s="5"/>
      <c r="G420" s="17"/>
    </row>
    <row r="421" spans="1:7" s="4" customFormat="1" ht="18.75" x14ac:dyDescent="0.25">
      <c r="A421" s="28">
        <f t="shared" si="10"/>
        <v>389</v>
      </c>
      <c r="B421" s="29" t="s">
        <v>562</v>
      </c>
      <c r="C421" s="28" t="s">
        <v>563</v>
      </c>
      <c r="D421" s="28" t="s">
        <v>467</v>
      </c>
      <c r="E421" s="28">
        <v>9000</v>
      </c>
      <c r="F421" s="5"/>
      <c r="G421" s="17"/>
    </row>
    <row r="422" spans="1:7" s="4" customFormat="1" ht="18.75" x14ac:dyDescent="0.25">
      <c r="A422" s="28">
        <f t="shared" si="10"/>
        <v>390</v>
      </c>
      <c r="B422" s="29" t="s">
        <v>564</v>
      </c>
      <c r="C422" s="28" t="s">
        <v>565</v>
      </c>
      <c r="D422" s="28" t="s">
        <v>356</v>
      </c>
      <c r="E422" s="28">
        <v>9000</v>
      </c>
      <c r="F422" s="5"/>
      <c r="G422" s="17"/>
    </row>
    <row r="423" spans="1:7" s="4" customFormat="1" ht="18.75" x14ac:dyDescent="0.25">
      <c r="A423" s="28">
        <f t="shared" si="10"/>
        <v>391</v>
      </c>
      <c r="B423" s="29" t="s">
        <v>566</v>
      </c>
      <c r="C423" s="28" t="s">
        <v>567</v>
      </c>
      <c r="D423" s="28" t="s">
        <v>438</v>
      </c>
      <c r="E423" s="28">
        <v>18000</v>
      </c>
      <c r="F423" s="5"/>
      <c r="G423" s="17"/>
    </row>
    <row r="424" spans="1:7" s="4" customFormat="1" ht="18.75" x14ac:dyDescent="0.25">
      <c r="A424" s="28">
        <f t="shared" si="10"/>
        <v>392</v>
      </c>
      <c r="B424" s="29" t="s">
        <v>568</v>
      </c>
      <c r="C424" s="28" t="s">
        <v>569</v>
      </c>
      <c r="D424" s="28" t="s">
        <v>356</v>
      </c>
      <c r="E424" s="28">
        <v>15480</v>
      </c>
      <c r="F424" s="5"/>
      <c r="G424" s="17"/>
    </row>
    <row r="425" spans="1:7" s="4" customFormat="1" ht="18.75" x14ac:dyDescent="0.25">
      <c r="A425" s="28">
        <f t="shared" si="10"/>
        <v>393</v>
      </c>
      <c r="B425" s="29" t="s">
        <v>570</v>
      </c>
      <c r="C425" s="28" t="s">
        <v>571</v>
      </c>
      <c r="D425" s="28" t="s">
        <v>356</v>
      </c>
      <c r="E425" s="28">
        <v>2160</v>
      </c>
      <c r="F425" s="5"/>
      <c r="G425" s="17"/>
    </row>
    <row r="426" spans="1:7" s="4" customFormat="1" ht="18.75" x14ac:dyDescent="0.25">
      <c r="A426" s="28">
        <f t="shared" si="10"/>
        <v>394</v>
      </c>
      <c r="B426" s="29" t="s">
        <v>572</v>
      </c>
      <c r="C426" s="28" t="s">
        <v>573</v>
      </c>
      <c r="D426" s="28" t="s">
        <v>438</v>
      </c>
      <c r="E426" s="28">
        <v>64200</v>
      </c>
      <c r="F426" s="5"/>
      <c r="G426" s="17"/>
    </row>
    <row r="427" spans="1:7" s="4" customFormat="1" ht="25.5" x14ac:dyDescent="0.25">
      <c r="A427" s="28">
        <f t="shared" si="10"/>
        <v>395</v>
      </c>
      <c r="B427" s="46" t="s">
        <v>574</v>
      </c>
      <c r="C427" s="28" t="s">
        <v>575</v>
      </c>
      <c r="D427" s="47" t="s">
        <v>467</v>
      </c>
      <c r="E427" s="28">
        <v>51360</v>
      </c>
      <c r="F427" s="5"/>
      <c r="G427" s="17"/>
    </row>
    <row r="428" spans="1:7" s="4" customFormat="1" ht="25.5" x14ac:dyDescent="0.25">
      <c r="A428" s="28">
        <f t="shared" si="10"/>
        <v>396</v>
      </c>
      <c r="B428" s="46" t="s">
        <v>576</v>
      </c>
      <c r="C428" s="28" t="s">
        <v>575</v>
      </c>
      <c r="D428" s="47" t="s">
        <v>467</v>
      </c>
      <c r="E428" s="28">
        <v>64200</v>
      </c>
      <c r="F428" s="5"/>
      <c r="G428" s="17"/>
    </row>
    <row r="429" spans="1:7" s="4" customFormat="1" ht="18.75" x14ac:dyDescent="0.25">
      <c r="A429" s="28">
        <f t="shared" si="10"/>
        <v>397</v>
      </c>
      <c r="B429" s="29" t="s">
        <v>577</v>
      </c>
      <c r="C429" s="28" t="s">
        <v>551</v>
      </c>
      <c r="D429" s="28" t="s">
        <v>356</v>
      </c>
      <c r="E429" s="28">
        <v>12840</v>
      </c>
      <c r="F429" s="5"/>
      <c r="G429" s="17"/>
    </row>
    <row r="430" spans="1:7" s="4" customFormat="1" ht="18.75" x14ac:dyDescent="0.25">
      <c r="A430" s="28">
        <f t="shared" si="10"/>
        <v>398</v>
      </c>
      <c r="B430" s="29" t="s">
        <v>578</v>
      </c>
      <c r="C430" s="28" t="s">
        <v>499</v>
      </c>
      <c r="D430" s="28" t="s">
        <v>467</v>
      </c>
      <c r="E430" s="28">
        <v>5280</v>
      </c>
      <c r="F430" s="5"/>
      <c r="G430" s="17"/>
    </row>
    <row r="431" spans="1:7" s="4" customFormat="1" ht="18.75" x14ac:dyDescent="0.25">
      <c r="A431" s="28">
        <f t="shared" si="10"/>
        <v>399</v>
      </c>
      <c r="B431" s="29" t="s">
        <v>579</v>
      </c>
      <c r="C431" s="28" t="s">
        <v>580</v>
      </c>
      <c r="D431" s="28" t="s">
        <v>467</v>
      </c>
      <c r="E431" s="28">
        <v>6480</v>
      </c>
      <c r="F431" s="5"/>
      <c r="G431" s="17"/>
    </row>
    <row r="432" spans="1:7" s="4" customFormat="1" ht="18.75" x14ac:dyDescent="0.25">
      <c r="A432" s="28">
        <f t="shared" si="10"/>
        <v>400</v>
      </c>
      <c r="B432" s="29" t="s">
        <v>581</v>
      </c>
      <c r="C432" s="28" t="s">
        <v>527</v>
      </c>
      <c r="D432" s="28" t="s">
        <v>467</v>
      </c>
      <c r="E432" s="28">
        <v>6480</v>
      </c>
      <c r="F432" s="5"/>
      <c r="G432" s="17"/>
    </row>
    <row r="433" spans="1:7" s="4" customFormat="1" ht="18.75" x14ac:dyDescent="0.25">
      <c r="A433" s="28">
        <f t="shared" si="10"/>
        <v>401</v>
      </c>
      <c r="B433" s="29" t="s">
        <v>582</v>
      </c>
      <c r="C433" s="28" t="s">
        <v>583</v>
      </c>
      <c r="D433" s="28" t="s">
        <v>438</v>
      </c>
      <c r="E433" s="28">
        <v>64200</v>
      </c>
      <c r="F433" s="5"/>
      <c r="G433" s="17"/>
    </row>
    <row r="434" spans="1:7" s="4" customFormat="1" ht="18.75" x14ac:dyDescent="0.25">
      <c r="A434" s="28">
        <f t="shared" si="10"/>
        <v>402</v>
      </c>
      <c r="B434" s="29" t="s">
        <v>584</v>
      </c>
      <c r="C434" s="28" t="s">
        <v>585</v>
      </c>
      <c r="D434" s="28" t="s">
        <v>467</v>
      </c>
      <c r="E434" s="28">
        <v>16800</v>
      </c>
      <c r="F434" s="5"/>
      <c r="G434" s="17"/>
    </row>
    <row r="435" spans="1:7" s="4" customFormat="1" ht="18.75" x14ac:dyDescent="0.25">
      <c r="A435" s="28">
        <f t="shared" si="10"/>
        <v>403</v>
      </c>
      <c r="B435" s="29" t="s">
        <v>586</v>
      </c>
      <c r="C435" s="28" t="s">
        <v>587</v>
      </c>
      <c r="D435" s="30" t="s">
        <v>467</v>
      </c>
      <c r="E435" s="28">
        <v>7800</v>
      </c>
      <c r="F435" s="5"/>
      <c r="G435" s="17"/>
    </row>
    <row r="436" spans="1:7" s="4" customFormat="1" ht="18.75" x14ac:dyDescent="0.25">
      <c r="A436" s="28">
        <f t="shared" si="10"/>
        <v>404</v>
      </c>
      <c r="B436" s="29" t="s">
        <v>588</v>
      </c>
      <c r="C436" s="28" t="s">
        <v>589</v>
      </c>
      <c r="D436" s="28" t="s">
        <v>467</v>
      </c>
      <c r="E436" s="28">
        <v>8040</v>
      </c>
      <c r="F436" s="5"/>
      <c r="G436" s="17"/>
    </row>
    <row r="437" spans="1:7" s="4" customFormat="1" ht="18.75" x14ac:dyDescent="0.25">
      <c r="A437" s="28">
        <f t="shared" si="10"/>
        <v>405</v>
      </c>
      <c r="B437" s="29" t="s">
        <v>590</v>
      </c>
      <c r="C437" s="28" t="s">
        <v>591</v>
      </c>
      <c r="D437" s="28" t="s">
        <v>467</v>
      </c>
      <c r="E437" s="28">
        <v>5760</v>
      </c>
      <c r="F437" s="5"/>
      <c r="G437" s="17"/>
    </row>
    <row r="438" spans="1:7" s="4" customFormat="1" ht="18.75" x14ac:dyDescent="0.25">
      <c r="A438" s="28">
        <f t="shared" si="10"/>
        <v>406</v>
      </c>
      <c r="B438" s="29" t="s">
        <v>592</v>
      </c>
      <c r="C438" s="28" t="s">
        <v>593</v>
      </c>
      <c r="D438" s="28" t="s">
        <v>467</v>
      </c>
      <c r="E438" s="28">
        <v>5160</v>
      </c>
      <c r="F438" s="5"/>
      <c r="G438" s="17"/>
    </row>
    <row r="439" spans="1:7" s="4" customFormat="1" ht="24" customHeight="1" x14ac:dyDescent="0.25">
      <c r="A439" s="28">
        <f t="shared" si="10"/>
        <v>407</v>
      </c>
      <c r="B439" s="29" t="s">
        <v>594</v>
      </c>
      <c r="C439" s="28"/>
      <c r="D439" s="28" t="s">
        <v>438</v>
      </c>
      <c r="E439" s="28">
        <v>18000</v>
      </c>
      <c r="F439" s="5"/>
      <c r="G439" s="17"/>
    </row>
    <row r="440" spans="1:7" s="4" customFormat="1" ht="25.5" x14ac:dyDescent="0.25">
      <c r="A440" s="28">
        <f t="shared" si="10"/>
        <v>408</v>
      </c>
      <c r="B440" s="29" t="s">
        <v>595</v>
      </c>
      <c r="C440" s="40" t="s">
        <v>596</v>
      </c>
      <c r="D440" s="40" t="s">
        <v>356</v>
      </c>
      <c r="E440" s="28">
        <v>19320</v>
      </c>
      <c r="F440" s="5"/>
      <c r="G440" s="17"/>
    </row>
    <row r="441" spans="1:7" s="4" customFormat="1" ht="25.5" x14ac:dyDescent="0.25">
      <c r="A441" s="28">
        <f t="shared" si="10"/>
        <v>409</v>
      </c>
      <c r="B441" s="29" t="s">
        <v>597</v>
      </c>
      <c r="C441" s="40" t="s">
        <v>596</v>
      </c>
      <c r="D441" s="40" t="s">
        <v>356</v>
      </c>
      <c r="E441" s="28">
        <v>28320</v>
      </c>
      <c r="F441" s="5"/>
      <c r="G441" s="17"/>
    </row>
    <row r="442" spans="1:7" s="4" customFormat="1" ht="25.5" x14ac:dyDescent="0.25">
      <c r="A442" s="28">
        <f t="shared" si="10"/>
        <v>410</v>
      </c>
      <c r="B442" s="29" t="s">
        <v>598</v>
      </c>
      <c r="C442" s="40" t="s">
        <v>596</v>
      </c>
      <c r="D442" s="40" t="s">
        <v>356</v>
      </c>
      <c r="E442" s="28">
        <v>34680</v>
      </c>
      <c r="F442" s="5"/>
      <c r="G442" s="17"/>
    </row>
    <row r="443" spans="1:7" s="4" customFormat="1" ht="25.5" x14ac:dyDescent="0.25">
      <c r="A443" s="28">
        <f t="shared" si="10"/>
        <v>411</v>
      </c>
      <c r="B443" s="29" t="s">
        <v>599</v>
      </c>
      <c r="C443" s="28" t="s">
        <v>600</v>
      </c>
      <c r="D443" s="28" t="s">
        <v>438</v>
      </c>
      <c r="E443" s="28">
        <v>38520</v>
      </c>
      <c r="F443" s="5"/>
      <c r="G443" s="17"/>
    </row>
    <row r="444" spans="1:7" s="4" customFormat="1" ht="18.75" x14ac:dyDescent="0.25">
      <c r="A444" s="28">
        <f t="shared" si="10"/>
        <v>412</v>
      </c>
      <c r="B444" s="29" t="s">
        <v>601</v>
      </c>
      <c r="C444" s="28"/>
      <c r="D444" s="28" t="s">
        <v>438</v>
      </c>
      <c r="E444" s="28">
        <v>15480</v>
      </c>
      <c r="F444" s="5"/>
      <c r="G444" s="17"/>
    </row>
    <row r="445" spans="1:7" s="4" customFormat="1" ht="18.75" x14ac:dyDescent="0.25">
      <c r="A445" s="28">
        <f t="shared" si="10"/>
        <v>413</v>
      </c>
      <c r="B445" s="29" t="s">
        <v>602</v>
      </c>
      <c r="C445" s="28" t="s">
        <v>603</v>
      </c>
      <c r="D445" s="28" t="s">
        <v>438</v>
      </c>
      <c r="E445" s="28">
        <v>10320</v>
      </c>
      <c r="F445" s="5"/>
      <c r="G445" s="17"/>
    </row>
    <row r="446" spans="1:7" s="4" customFormat="1" ht="18.75" x14ac:dyDescent="0.25">
      <c r="A446" s="28">
        <f t="shared" si="10"/>
        <v>414</v>
      </c>
      <c r="B446" s="46" t="s">
        <v>604</v>
      </c>
      <c r="C446" s="39" t="s">
        <v>605</v>
      </c>
      <c r="D446" s="40" t="s">
        <v>467</v>
      </c>
      <c r="E446" s="28">
        <v>25680</v>
      </c>
      <c r="F446" s="5"/>
      <c r="G446" s="17"/>
    </row>
    <row r="447" spans="1:7" s="4" customFormat="1" ht="18.75" x14ac:dyDescent="0.25">
      <c r="A447" s="28">
        <f t="shared" si="10"/>
        <v>415</v>
      </c>
      <c r="B447" s="46" t="s">
        <v>606</v>
      </c>
      <c r="C447" s="39" t="s">
        <v>605</v>
      </c>
      <c r="D447" s="40" t="s">
        <v>467</v>
      </c>
      <c r="E447" s="28">
        <v>64200</v>
      </c>
      <c r="F447" s="5"/>
      <c r="G447" s="17"/>
    </row>
    <row r="448" spans="1:7" s="4" customFormat="1" ht="18.75" x14ac:dyDescent="0.25">
      <c r="A448" s="28">
        <f t="shared" si="10"/>
        <v>416</v>
      </c>
      <c r="B448" s="46" t="s">
        <v>607</v>
      </c>
      <c r="C448" s="39" t="s">
        <v>605</v>
      </c>
      <c r="D448" s="40" t="s">
        <v>467</v>
      </c>
      <c r="E448" s="28">
        <v>128400</v>
      </c>
      <c r="F448" s="5"/>
      <c r="G448" s="17"/>
    </row>
    <row r="449" spans="1:7" s="4" customFormat="1" ht="18.75" x14ac:dyDescent="0.25">
      <c r="A449" s="28">
        <f t="shared" si="10"/>
        <v>417</v>
      </c>
      <c r="B449" s="29" t="s">
        <v>608</v>
      </c>
      <c r="C449" s="28"/>
      <c r="D449" s="28" t="s">
        <v>438</v>
      </c>
      <c r="E449" s="28">
        <v>12840</v>
      </c>
      <c r="F449" s="5"/>
      <c r="G449" s="17"/>
    </row>
    <row r="450" spans="1:7" s="4" customFormat="1" ht="25.5" x14ac:dyDescent="0.25">
      <c r="A450" s="28">
        <f t="shared" si="10"/>
        <v>418</v>
      </c>
      <c r="B450" s="29" t="s">
        <v>609</v>
      </c>
      <c r="C450" s="28"/>
      <c r="D450" s="28" t="s">
        <v>467</v>
      </c>
      <c r="E450" s="28">
        <v>7800</v>
      </c>
      <c r="F450" s="5"/>
      <c r="G450" s="17"/>
    </row>
    <row r="451" spans="1:7" s="4" customFormat="1" ht="18.75" customHeight="1" x14ac:dyDescent="0.25">
      <c r="A451" s="139" t="s">
        <v>610</v>
      </c>
      <c r="B451" s="140"/>
      <c r="C451" s="140"/>
      <c r="D451" s="140"/>
      <c r="E451" s="141"/>
      <c r="F451" s="5"/>
      <c r="G451" s="17"/>
    </row>
    <row r="452" spans="1:7" s="4" customFormat="1" ht="18.75" x14ac:dyDescent="0.25">
      <c r="A452" s="28">
        <f>A450+1</f>
        <v>419</v>
      </c>
      <c r="B452" s="46" t="s">
        <v>611</v>
      </c>
      <c r="C452" s="39" t="s">
        <v>612</v>
      </c>
      <c r="D452" s="40" t="s">
        <v>467</v>
      </c>
      <c r="E452" s="28">
        <v>2640</v>
      </c>
      <c r="F452" s="5"/>
      <c r="G452" s="17"/>
    </row>
    <row r="453" spans="1:7" s="4" customFormat="1" ht="18.75" x14ac:dyDescent="0.25">
      <c r="A453" s="28">
        <f>A452+1</f>
        <v>420</v>
      </c>
      <c r="B453" s="46" t="s">
        <v>613</v>
      </c>
      <c r="C453" s="39" t="s">
        <v>614</v>
      </c>
      <c r="D453" s="40" t="s">
        <v>467</v>
      </c>
      <c r="E453" s="28">
        <v>3240</v>
      </c>
      <c r="F453" s="5"/>
      <c r="G453" s="17"/>
    </row>
    <row r="454" spans="1:7" s="4" customFormat="1" ht="18.75" x14ac:dyDescent="0.25">
      <c r="A454" s="28">
        <f t="shared" ref="A454:A479" si="11">A453+1</f>
        <v>421</v>
      </c>
      <c r="B454" s="46" t="s">
        <v>615</v>
      </c>
      <c r="C454" s="39" t="s">
        <v>525</v>
      </c>
      <c r="D454" s="40" t="s">
        <v>467</v>
      </c>
      <c r="E454" s="28">
        <v>115560</v>
      </c>
      <c r="F454" s="5"/>
      <c r="G454" s="17"/>
    </row>
    <row r="455" spans="1:7" s="4" customFormat="1" ht="18.75" x14ac:dyDescent="0.25">
      <c r="A455" s="28">
        <f t="shared" si="11"/>
        <v>422</v>
      </c>
      <c r="B455" s="46" t="s">
        <v>616</v>
      </c>
      <c r="C455" s="39" t="s">
        <v>525</v>
      </c>
      <c r="D455" s="40" t="s">
        <v>467</v>
      </c>
      <c r="E455" s="28">
        <v>166920</v>
      </c>
      <c r="F455" s="5"/>
      <c r="G455" s="17"/>
    </row>
    <row r="456" spans="1:7" s="4" customFormat="1" ht="18.75" x14ac:dyDescent="0.25">
      <c r="A456" s="28">
        <f t="shared" si="11"/>
        <v>423</v>
      </c>
      <c r="B456" s="38" t="s">
        <v>617</v>
      </c>
      <c r="C456" s="40" t="s">
        <v>618</v>
      </c>
      <c r="D456" s="40" t="s">
        <v>619</v>
      </c>
      <c r="E456" s="28">
        <v>1320</v>
      </c>
      <c r="F456" s="5"/>
      <c r="G456" s="17"/>
    </row>
    <row r="457" spans="1:7" s="4" customFormat="1" ht="18.75" x14ac:dyDescent="0.25">
      <c r="A457" s="28">
        <f t="shared" si="11"/>
        <v>424</v>
      </c>
      <c r="B457" s="38" t="s">
        <v>620</v>
      </c>
      <c r="C457" s="40" t="s">
        <v>621</v>
      </c>
      <c r="D457" s="40" t="s">
        <v>356</v>
      </c>
      <c r="E457" s="28">
        <v>25680</v>
      </c>
      <c r="F457" s="5"/>
      <c r="G457" s="17"/>
    </row>
    <row r="458" spans="1:7" s="4" customFormat="1" ht="18.75" x14ac:dyDescent="0.25">
      <c r="A458" s="28">
        <f t="shared" si="11"/>
        <v>425</v>
      </c>
      <c r="B458" s="38" t="s">
        <v>622</v>
      </c>
      <c r="C458" s="40" t="s">
        <v>618</v>
      </c>
      <c r="D458" s="40" t="s">
        <v>356</v>
      </c>
      <c r="E458" s="28">
        <v>25680</v>
      </c>
      <c r="F458" s="5"/>
      <c r="G458" s="17"/>
    </row>
    <row r="459" spans="1:7" s="4" customFormat="1" ht="18.75" x14ac:dyDescent="0.25">
      <c r="A459" s="28">
        <f t="shared" si="11"/>
        <v>426</v>
      </c>
      <c r="B459" s="38" t="s">
        <v>623</v>
      </c>
      <c r="C459" s="40" t="s">
        <v>618</v>
      </c>
      <c r="D459" s="40" t="s">
        <v>356</v>
      </c>
      <c r="E459" s="28">
        <v>46320</v>
      </c>
      <c r="F459" s="5"/>
      <c r="G459" s="17"/>
    </row>
    <row r="460" spans="1:7" s="4" customFormat="1" ht="18.75" x14ac:dyDescent="0.25">
      <c r="A460" s="28">
        <f t="shared" si="11"/>
        <v>427</v>
      </c>
      <c r="B460" s="38" t="s">
        <v>624</v>
      </c>
      <c r="C460" s="40" t="s">
        <v>618</v>
      </c>
      <c r="D460" s="40" t="s">
        <v>356</v>
      </c>
      <c r="E460" s="28">
        <v>41160</v>
      </c>
      <c r="F460" s="5"/>
      <c r="G460" s="17"/>
    </row>
    <row r="461" spans="1:7" s="4" customFormat="1" ht="18.75" x14ac:dyDescent="0.25">
      <c r="A461" s="28">
        <f t="shared" si="11"/>
        <v>428</v>
      </c>
      <c r="B461" s="38" t="s">
        <v>625</v>
      </c>
      <c r="C461" s="40" t="s">
        <v>618</v>
      </c>
      <c r="D461" s="40" t="s">
        <v>356</v>
      </c>
      <c r="E461" s="28">
        <v>29640</v>
      </c>
      <c r="F461" s="5"/>
      <c r="G461" s="17"/>
    </row>
    <row r="462" spans="1:7" s="4" customFormat="1" ht="25.5" x14ac:dyDescent="0.25">
      <c r="A462" s="28">
        <f t="shared" si="11"/>
        <v>429</v>
      </c>
      <c r="B462" s="38" t="s">
        <v>626</v>
      </c>
      <c r="C462" s="40" t="s">
        <v>525</v>
      </c>
      <c r="D462" s="40" t="s">
        <v>356</v>
      </c>
      <c r="E462" s="28">
        <v>57840</v>
      </c>
      <c r="F462" s="5"/>
      <c r="G462" s="17"/>
    </row>
    <row r="463" spans="1:7" s="4" customFormat="1" ht="25.5" x14ac:dyDescent="0.25">
      <c r="A463" s="28">
        <f t="shared" si="11"/>
        <v>430</v>
      </c>
      <c r="B463" s="38" t="s">
        <v>627</v>
      </c>
      <c r="C463" s="40" t="s">
        <v>525</v>
      </c>
      <c r="D463" s="40" t="s">
        <v>356</v>
      </c>
      <c r="E463" s="28">
        <v>64200</v>
      </c>
      <c r="F463" s="5"/>
      <c r="G463" s="17"/>
    </row>
    <row r="464" spans="1:7" s="4" customFormat="1" ht="25.5" x14ac:dyDescent="0.25">
      <c r="A464" s="28">
        <f t="shared" si="11"/>
        <v>431</v>
      </c>
      <c r="B464" s="38" t="s">
        <v>628</v>
      </c>
      <c r="C464" s="40" t="s">
        <v>525</v>
      </c>
      <c r="D464" s="40" t="s">
        <v>356</v>
      </c>
      <c r="E464" s="28">
        <v>77040</v>
      </c>
      <c r="F464" s="5"/>
      <c r="G464" s="17"/>
    </row>
    <row r="465" spans="1:7" s="4" customFormat="1" ht="38.25" x14ac:dyDescent="0.25">
      <c r="A465" s="28">
        <f t="shared" si="11"/>
        <v>432</v>
      </c>
      <c r="B465" s="38" t="s">
        <v>629</v>
      </c>
      <c r="C465" s="40" t="s">
        <v>525</v>
      </c>
      <c r="D465" s="40" t="s">
        <v>356</v>
      </c>
      <c r="E465" s="28">
        <v>89880</v>
      </c>
      <c r="F465" s="5"/>
      <c r="G465" s="17"/>
    </row>
    <row r="466" spans="1:7" s="4" customFormat="1" ht="25.5" x14ac:dyDescent="0.25">
      <c r="A466" s="28">
        <f t="shared" si="11"/>
        <v>433</v>
      </c>
      <c r="B466" s="38" t="s">
        <v>630</v>
      </c>
      <c r="C466" s="40" t="s">
        <v>525</v>
      </c>
      <c r="D466" s="40" t="s">
        <v>356</v>
      </c>
      <c r="E466" s="28">
        <v>77040</v>
      </c>
      <c r="F466" s="5"/>
      <c r="G466" s="17"/>
    </row>
    <row r="467" spans="1:7" s="4" customFormat="1" ht="18.75" x14ac:dyDescent="0.25">
      <c r="A467" s="28">
        <f t="shared" si="11"/>
        <v>434</v>
      </c>
      <c r="B467" s="38" t="s">
        <v>631</v>
      </c>
      <c r="C467" s="40" t="s">
        <v>632</v>
      </c>
      <c r="D467" s="40" t="s">
        <v>633</v>
      </c>
      <c r="E467" s="28">
        <v>6480</v>
      </c>
      <c r="F467" s="5"/>
      <c r="G467" s="17"/>
    </row>
    <row r="468" spans="1:7" s="4" customFormat="1" ht="18.75" x14ac:dyDescent="0.25">
      <c r="A468" s="28">
        <f t="shared" si="11"/>
        <v>435</v>
      </c>
      <c r="B468" s="38" t="s">
        <v>634</v>
      </c>
      <c r="C468" s="40" t="s">
        <v>635</v>
      </c>
      <c r="D468" s="40" t="s">
        <v>356</v>
      </c>
      <c r="E468" s="28">
        <v>12840</v>
      </c>
      <c r="F468" s="5"/>
      <c r="G468" s="17"/>
    </row>
    <row r="469" spans="1:7" s="4" customFormat="1" ht="18.75" x14ac:dyDescent="0.25">
      <c r="A469" s="28">
        <f t="shared" si="11"/>
        <v>436</v>
      </c>
      <c r="B469" s="38" t="s">
        <v>636</v>
      </c>
      <c r="C469" s="40" t="s">
        <v>635</v>
      </c>
      <c r="D469" s="40" t="s">
        <v>356</v>
      </c>
      <c r="E469" s="28">
        <v>12840</v>
      </c>
      <c r="F469" s="5"/>
      <c r="G469" s="17"/>
    </row>
    <row r="470" spans="1:7" s="4" customFormat="1" ht="18.75" x14ac:dyDescent="0.25">
      <c r="A470" s="28">
        <f t="shared" si="11"/>
        <v>437</v>
      </c>
      <c r="B470" s="38" t="s">
        <v>637</v>
      </c>
      <c r="C470" s="40" t="s">
        <v>635</v>
      </c>
      <c r="D470" s="40" t="s">
        <v>356</v>
      </c>
      <c r="E470" s="28">
        <v>19320</v>
      </c>
      <c r="F470" s="5"/>
      <c r="G470" s="17"/>
    </row>
    <row r="471" spans="1:7" s="4" customFormat="1" ht="18.75" x14ac:dyDescent="0.25">
      <c r="A471" s="28">
        <f t="shared" si="11"/>
        <v>438</v>
      </c>
      <c r="B471" s="38" t="s">
        <v>638</v>
      </c>
      <c r="C471" s="40" t="s">
        <v>614</v>
      </c>
      <c r="D471" s="40" t="s">
        <v>356</v>
      </c>
      <c r="E471" s="28">
        <v>2640</v>
      </c>
      <c r="F471" s="5"/>
      <c r="G471" s="17"/>
    </row>
    <row r="472" spans="1:7" s="4" customFormat="1" ht="25.5" x14ac:dyDescent="0.25">
      <c r="A472" s="28">
        <f t="shared" si="11"/>
        <v>439</v>
      </c>
      <c r="B472" s="29" t="s">
        <v>639</v>
      </c>
      <c r="C472" s="40" t="s">
        <v>640</v>
      </c>
      <c r="D472" s="40" t="s">
        <v>438</v>
      </c>
      <c r="E472" s="28">
        <v>1320</v>
      </c>
      <c r="F472" s="5"/>
      <c r="G472" s="17"/>
    </row>
    <row r="473" spans="1:7" s="4" customFormat="1" ht="25.5" x14ac:dyDescent="0.25">
      <c r="A473" s="28">
        <f t="shared" si="11"/>
        <v>440</v>
      </c>
      <c r="B473" s="29" t="s">
        <v>641</v>
      </c>
      <c r="C473" s="40" t="s">
        <v>640</v>
      </c>
      <c r="D473" s="40" t="s">
        <v>438</v>
      </c>
      <c r="E473" s="28">
        <v>3960</v>
      </c>
      <c r="F473" s="5"/>
      <c r="G473" s="17"/>
    </row>
    <row r="474" spans="1:7" s="4" customFormat="1" ht="25.5" x14ac:dyDescent="0.25">
      <c r="A474" s="28">
        <f t="shared" si="11"/>
        <v>441</v>
      </c>
      <c r="B474" s="29" t="s">
        <v>642</v>
      </c>
      <c r="C474" s="40" t="s">
        <v>640</v>
      </c>
      <c r="D474" s="40" t="s">
        <v>438</v>
      </c>
      <c r="E474" s="28">
        <v>5160</v>
      </c>
      <c r="F474" s="5"/>
      <c r="G474" s="17"/>
    </row>
    <row r="475" spans="1:7" s="4" customFormat="1" ht="25.5" x14ac:dyDescent="0.25">
      <c r="A475" s="28">
        <f t="shared" si="11"/>
        <v>442</v>
      </c>
      <c r="B475" s="29" t="s">
        <v>643</v>
      </c>
      <c r="C475" s="40" t="s">
        <v>640</v>
      </c>
      <c r="D475" s="40" t="s">
        <v>438</v>
      </c>
      <c r="E475" s="28">
        <v>7800</v>
      </c>
      <c r="F475" s="5"/>
      <c r="G475" s="17"/>
    </row>
    <row r="476" spans="1:7" s="4" customFormat="1" ht="25.5" x14ac:dyDescent="0.25">
      <c r="A476" s="28">
        <f t="shared" si="11"/>
        <v>443</v>
      </c>
      <c r="B476" s="29" t="s">
        <v>644</v>
      </c>
      <c r="C476" s="40" t="s">
        <v>640</v>
      </c>
      <c r="D476" s="40" t="s">
        <v>438</v>
      </c>
      <c r="E476" s="28">
        <v>12840</v>
      </c>
      <c r="F476" s="5"/>
      <c r="G476" s="17"/>
    </row>
    <row r="477" spans="1:7" s="4" customFormat="1" ht="25.5" x14ac:dyDescent="0.25">
      <c r="A477" s="28">
        <f t="shared" si="11"/>
        <v>444</v>
      </c>
      <c r="B477" s="29" t="s">
        <v>645</v>
      </c>
      <c r="C477" s="40" t="s">
        <v>640</v>
      </c>
      <c r="D477" s="40" t="s">
        <v>438</v>
      </c>
      <c r="E477" s="28">
        <v>19320</v>
      </c>
      <c r="F477" s="5"/>
      <c r="G477" s="17"/>
    </row>
    <row r="478" spans="1:7" s="4" customFormat="1" ht="18.75" x14ac:dyDescent="0.25">
      <c r="A478" s="28">
        <f t="shared" si="11"/>
        <v>445</v>
      </c>
      <c r="B478" s="29" t="s">
        <v>646</v>
      </c>
      <c r="C478" s="40" t="s">
        <v>603</v>
      </c>
      <c r="D478" s="40" t="s">
        <v>356</v>
      </c>
      <c r="E478" s="28">
        <v>19320</v>
      </c>
      <c r="F478" s="5"/>
      <c r="G478" s="17"/>
    </row>
    <row r="479" spans="1:7" s="4" customFormat="1" ht="18.75" x14ac:dyDescent="0.25">
      <c r="A479" s="28">
        <f t="shared" si="11"/>
        <v>446</v>
      </c>
      <c r="B479" s="29" t="s">
        <v>647</v>
      </c>
      <c r="C479" s="40" t="s">
        <v>648</v>
      </c>
      <c r="D479" s="40" t="s">
        <v>356</v>
      </c>
      <c r="E479" s="28">
        <v>19320</v>
      </c>
      <c r="F479" s="5"/>
      <c r="G479" s="17"/>
    </row>
    <row r="480" spans="1:7" s="4" customFormat="1" ht="18.75" customHeight="1" x14ac:dyDescent="0.25">
      <c r="A480" s="139" t="s">
        <v>649</v>
      </c>
      <c r="B480" s="140"/>
      <c r="C480" s="140"/>
      <c r="D480" s="140"/>
      <c r="E480" s="141"/>
      <c r="F480" s="5"/>
      <c r="G480" s="17"/>
    </row>
    <row r="481" spans="1:7" s="4" customFormat="1" ht="18.75" x14ac:dyDescent="0.25">
      <c r="A481" s="28">
        <f>A479+1</f>
        <v>447</v>
      </c>
      <c r="B481" s="33" t="s">
        <v>650</v>
      </c>
      <c r="C481" s="29" t="s">
        <v>651</v>
      </c>
      <c r="D481" s="28" t="s">
        <v>352</v>
      </c>
      <c r="E481" s="28">
        <v>128400</v>
      </c>
      <c r="F481" s="5"/>
      <c r="G481" s="17"/>
    </row>
    <row r="482" spans="1:7" s="4" customFormat="1" ht="18.75" x14ac:dyDescent="0.25">
      <c r="A482" s="28">
        <f>A481+1</f>
        <v>448</v>
      </c>
      <c r="B482" s="33" t="s">
        <v>652</v>
      </c>
      <c r="C482" s="29" t="s">
        <v>653</v>
      </c>
      <c r="D482" s="28" t="s">
        <v>352</v>
      </c>
      <c r="E482" s="28">
        <v>7800</v>
      </c>
      <c r="F482" s="5"/>
      <c r="G482" s="17"/>
    </row>
    <row r="483" spans="1:7" s="4" customFormat="1" ht="25.5" x14ac:dyDescent="0.25">
      <c r="A483" s="28">
        <f>A482+1</f>
        <v>449</v>
      </c>
      <c r="B483" s="33" t="s">
        <v>654</v>
      </c>
      <c r="C483" s="29"/>
      <c r="D483" s="28" t="s">
        <v>352</v>
      </c>
      <c r="E483" s="28">
        <v>6960</v>
      </c>
      <c r="F483" s="5"/>
      <c r="G483" s="17"/>
    </row>
    <row r="484" spans="1:7" s="4" customFormat="1" ht="18.75" x14ac:dyDescent="0.25">
      <c r="A484" s="28">
        <f>A483+1</f>
        <v>450</v>
      </c>
      <c r="B484" s="33" t="s">
        <v>655</v>
      </c>
      <c r="C484" s="29" t="s">
        <v>656</v>
      </c>
      <c r="D484" s="28" t="s">
        <v>352</v>
      </c>
      <c r="E484" s="28">
        <v>25680</v>
      </c>
      <c r="F484" s="5"/>
      <c r="G484" s="17"/>
    </row>
    <row r="485" spans="1:7" s="4" customFormat="1" ht="18.75" customHeight="1" x14ac:dyDescent="0.25">
      <c r="A485" s="139" t="s">
        <v>657</v>
      </c>
      <c r="B485" s="140"/>
      <c r="C485" s="140"/>
      <c r="D485" s="140"/>
      <c r="E485" s="141"/>
      <c r="F485" s="5"/>
      <c r="G485" s="17"/>
    </row>
    <row r="486" spans="1:7" s="4" customFormat="1" ht="18.75" x14ac:dyDescent="0.25">
      <c r="A486" s="28">
        <f>A484+1</f>
        <v>451</v>
      </c>
      <c r="B486" s="29" t="s">
        <v>658</v>
      </c>
      <c r="C486" s="29" t="s">
        <v>659</v>
      </c>
      <c r="D486" s="48" t="s">
        <v>438</v>
      </c>
      <c r="E486" s="28">
        <v>179760</v>
      </c>
      <c r="F486" s="5"/>
      <c r="G486" s="17"/>
    </row>
    <row r="487" spans="1:7" s="4" customFormat="1" ht="18.75" x14ac:dyDescent="0.25">
      <c r="A487" s="28">
        <f>A486+1</f>
        <v>452</v>
      </c>
      <c r="B487" s="29" t="s">
        <v>660</v>
      </c>
      <c r="C487" s="29" t="s">
        <v>661</v>
      </c>
      <c r="D487" s="48" t="s">
        <v>438</v>
      </c>
      <c r="E487" s="28">
        <v>218280</v>
      </c>
      <c r="F487" s="5"/>
      <c r="G487" s="17"/>
    </row>
    <row r="488" spans="1:7" s="4" customFormat="1" ht="18.75" x14ac:dyDescent="0.25">
      <c r="A488" s="28">
        <f>A487+1</f>
        <v>453</v>
      </c>
      <c r="B488" s="29" t="s">
        <v>662</v>
      </c>
      <c r="C488" s="29" t="s">
        <v>663</v>
      </c>
      <c r="D488" s="28" t="s">
        <v>438</v>
      </c>
      <c r="E488" s="28">
        <v>192600</v>
      </c>
      <c r="F488" s="5"/>
      <c r="G488" s="17"/>
    </row>
    <row r="489" spans="1:7" s="4" customFormat="1" ht="18.75" x14ac:dyDescent="0.25">
      <c r="A489" s="28">
        <f>A488+1</f>
        <v>454</v>
      </c>
      <c r="B489" s="29" t="s">
        <v>664</v>
      </c>
      <c r="C489" s="29" t="s">
        <v>665</v>
      </c>
      <c r="D489" s="28" t="s">
        <v>438</v>
      </c>
      <c r="E489" s="28">
        <v>128400</v>
      </c>
      <c r="F489" s="5"/>
      <c r="G489" s="17"/>
    </row>
    <row r="490" spans="1:7" s="4" customFormat="1" ht="18.75" x14ac:dyDescent="0.25">
      <c r="A490" s="28">
        <f>A489+1</f>
        <v>455</v>
      </c>
      <c r="B490" s="29" t="s">
        <v>666</v>
      </c>
      <c r="C490" s="29" t="s">
        <v>667</v>
      </c>
      <c r="D490" s="48" t="s">
        <v>438</v>
      </c>
      <c r="E490" s="28">
        <v>231120</v>
      </c>
      <c r="F490" s="5"/>
      <c r="G490" s="17"/>
    </row>
    <row r="491" spans="1:7" s="4" customFormat="1" ht="18.75" x14ac:dyDescent="0.25">
      <c r="A491" s="28">
        <f>A490+1</f>
        <v>456</v>
      </c>
      <c r="B491" s="29" t="s">
        <v>668</v>
      </c>
      <c r="C491" s="29" t="s">
        <v>669</v>
      </c>
      <c r="D491" s="28" t="s">
        <v>438</v>
      </c>
      <c r="E491" s="28">
        <v>128400</v>
      </c>
      <c r="F491" s="5"/>
      <c r="G491" s="17"/>
    </row>
    <row r="492" spans="1:7" s="4" customFormat="1" ht="18.75" customHeight="1" x14ac:dyDescent="0.25">
      <c r="A492" s="139" t="s">
        <v>670</v>
      </c>
      <c r="B492" s="140"/>
      <c r="C492" s="140"/>
      <c r="D492" s="140"/>
      <c r="E492" s="141"/>
      <c r="F492" s="5"/>
      <c r="G492" s="17"/>
    </row>
    <row r="493" spans="1:7" s="4" customFormat="1" ht="18.75" x14ac:dyDescent="0.25">
      <c r="A493" s="28">
        <f>A491+1</f>
        <v>457</v>
      </c>
      <c r="B493" s="29" t="s">
        <v>671</v>
      </c>
      <c r="C493" s="29" t="s">
        <v>672</v>
      </c>
      <c r="D493" s="28" t="s">
        <v>356</v>
      </c>
      <c r="E493" s="28">
        <v>1560</v>
      </c>
      <c r="F493" s="5"/>
      <c r="G493" s="17"/>
    </row>
    <row r="494" spans="1:7" s="4" customFormat="1" ht="18.75" x14ac:dyDescent="0.25">
      <c r="A494" s="28">
        <f>A493+1</f>
        <v>458</v>
      </c>
      <c r="B494" s="42" t="s">
        <v>673</v>
      </c>
      <c r="C494" s="29" t="s">
        <v>674</v>
      </c>
      <c r="D494" s="43" t="s">
        <v>356</v>
      </c>
      <c r="E494" s="28">
        <v>1560</v>
      </c>
      <c r="F494" s="5"/>
      <c r="G494" s="17"/>
    </row>
    <row r="495" spans="1:7" s="4" customFormat="1" ht="18.75" x14ac:dyDescent="0.25">
      <c r="A495" s="28">
        <f t="shared" ref="A495:A503" si="12">A494+1</f>
        <v>459</v>
      </c>
      <c r="B495" s="29" t="s">
        <v>675</v>
      </c>
      <c r="C495" s="29" t="s">
        <v>676</v>
      </c>
      <c r="D495" s="28" t="s">
        <v>356</v>
      </c>
      <c r="E495" s="28">
        <v>3240</v>
      </c>
      <c r="F495" s="5"/>
      <c r="G495" s="17"/>
    </row>
    <row r="496" spans="1:7" s="4" customFormat="1" ht="18.75" x14ac:dyDescent="0.25">
      <c r="A496" s="28">
        <f t="shared" si="12"/>
        <v>460</v>
      </c>
      <c r="B496" s="29" t="s">
        <v>677</v>
      </c>
      <c r="C496" s="29" t="s">
        <v>678</v>
      </c>
      <c r="D496" s="28" t="s">
        <v>356</v>
      </c>
      <c r="E496" s="28">
        <v>3360</v>
      </c>
      <c r="F496" s="5"/>
      <c r="G496" s="17"/>
    </row>
    <row r="497" spans="1:7" s="4" customFormat="1" ht="18.75" x14ac:dyDescent="0.25">
      <c r="A497" s="28">
        <f t="shared" si="12"/>
        <v>461</v>
      </c>
      <c r="B497" s="42" t="s">
        <v>679</v>
      </c>
      <c r="C497" s="29" t="s">
        <v>680</v>
      </c>
      <c r="D497" s="43" t="s">
        <v>356</v>
      </c>
      <c r="E497" s="28">
        <v>3360</v>
      </c>
      <c r="F497" s="5"/>
      <c r="G497" s="17"/>
    </row>
    <row r="498" spans="1:7" s="4" customFormat="1" ht="18.75" x14ac:dyDescent="0.25">
      <c r="A498" s="28">
        <f>A497+1</f>
        <v>462</v>
      </c>
      <c r="B498" s="42" t="s">
        <v>681</v>
      </c>
      <c r="C498" s="29" t="s">
        <v>682</v>
      </c>
      <c r="D498" s="43" t="s">
        <v>356</v>
      </c>
      <c r="E498" s="28">
        <v>2280</v>
      </c>
      <c r="F498" s="5"/>
      <c r="G498" s="17"/>
    </row>
    <row r="499" spans="1:7" s="4" customFormat="1" ht="18.75" x14ac:dyDescent="0.25">
      <c r="A499" s="28">
        <f t="shared" si="12"/>
        <v>463</v>
      </c>
      <c r="B499" s="49" t="s">
        <v>683</v>
      </c>
      <c r="C499" s="29" t="s">
        <v>684</v>
      </c>
      <c r="D499" s="40" t="s">
        <v>467</v>
      </c>
      <c r="E499" s="28">
        <v>15480</v>
      </c>
      <c r="F499" s="5"/>
      <c r="G499" s="17"/>
    </row>
    <row r="500" spans="1:7" s="4" customFormat="1" ht="18.75" x14ac:dyDescent="0.25">
      <c r="A500" s="28">
        <f t="shared" si="12"/>
        <v>464</v>
      </c>
      <c r="B500" s="29" t="s">
        <v>685</v>
      </c>
      <c r="C500" s="29" t="s">
        <v>686</v>
      </c>
      <c r="D500" s="28" t="s">
        <v>467</v>
      </c>
      <c r="E500" s="28">
        <v>28320</v>
      </c>
      <c r="F500" s="5"/>
      <c r="G500" s="17"/>
    </row>
    <row r="501" spans="1:7" s="4" customFormat="1" ht="25.5" x14ac:dyDescent="0.25">
      <c r="A501" s="28">
        <f t="shared" si="12"/>
        <v>465</v>
      </c>
      <c r="B501" s="49" t="s">
        <v>687</v>
      </c>
      <c r="C501" s="29" t="s">
        <v>688</v>
      </c>
      <c r="D501" s="28" t="s">
        <v>356</v>
      </c>
      <c r="E501" s="28">
        <v>6480</v>
      </c>
      <c r="F501" s="5"/>
      <c r="G501" s="17"/>
    </row>
    <row r="502" spans="1:7" s="4" customFormat="1" ht="21" customHeight="1" x14ac:dyDescent="0.25">
      <c r="A502" s="28">
        <f t="shared" si="12"/>
        <v>466</v>
      </c>
      <c r="B502" s="49" t="s">
        <v>3083</v>
      </c>
      <c r="C502" s="50" t="s">
        <v>689</v>
      </c>
      <c r="D502" s="40" t="s">
        <v>356</v>
      </c>
      <c r="E502" s="28">
        <v>6480</v>
      </c>
      <c r="F502" s="5"/>
      <c r="G502" s="17"/>
    </row>
    <row r="503" spans="1:7" s="4" customFormat="1" ht="18.75" x14ac:dyDescent="0.25">
      <c r="A503" s="28">
        <f t="shared" si="12"/>
        <v>467</v>
      </c>
      <c r="B503" s="29" t="s">
        <v>690</v>
      </c>
      <c r="C503" s="28" t="s">
        <v>691</v>
      </c>
      <c r="D503" s="40" t="s">
        <v>356</v>
      </c>
      <c r="E503" s="28">
        <v>12840</v>
      </c>
      <c r="F503" s="5"/>
      <c r="G503" s="17"/>
    </row>
    <row r="504" spans="1:7" s="4" customFormat="1" ht="18.75" customHeight="1" x14ac:dyDescent="0.25">
      <c r="A504" s="139" t="s">
        <v>692</v>
      </c>
      <c r="B504" s="140"/>
      <c r="C504" s="140"/>
      <c r="D504" s="140"/>
      <c r="E504" s="141"/>
      <c r="F504" s="5"/>
      <c r="G504" s="17"/>
    </row>
    <row r="505" spans="1:7" s="4" customFormat="1" ht="18.75" x14ac:dyDescent="0.25">
      <c r="A505" s="28">
        <f>A503+1</f>
        <v>468</v>
      </c>
      <c r="B505" s="29" t="s">
        <v>693</v>
      </c>
      <c r="C505" s="29" t="s">
        <v>694</v>
      </c>
      <c r="D505" s="28" t="s">
        <v>356</v>
      </c>
      <c r="E505" s="28">
        <v>2640</v>
      </c>
      <c r="F505" s="5"/>
      <c r="G505" s="17"/>
    </row>
    <row r="506" spans="1:7" s="4" customFormat="1" ht="18.75" x14ac:dyDescent="0.25">
      <c r="A506" s="28">
        <f>A505+1</f>
        <v>469</v>
      </c>
      <c r="B506" s="29" t="s">
        <v>695</v>
      </c>
      <c r="C506" s="29" t="s">
        <v>696</v>
      </c>
      <c r="D506" s="28" t="s">
        <v>490</v>
      </c>
      <c r="E506" s="28">
        <v>5160</v>
      </c>
      <c r="F506" s="5"/>
      <c r="G506" s="17"/>
    </row>
    <row r="507" spans="1:7" s="4" customFormat="1" ht="18.75" x14ac:dyDescent="0.25">
      <c r="A507" s="28">
        <f t="shared" ref="A507:A529" si="13">A506+1</f>
        <v>470</v>
      </c>
      <c r="B507" s="29" t="s">
        <v>697</v>
      </c>
      <c r="C507" s="29" t="s">
        <v>698</v>
      </c>
      <c r="D507" s="28" t="s">
        <v>438</v>
      </c>
      <c r="E507" s="28">
        <v>5160</v>
      </c>
      <c r="F507" s="5"/>
      <c r="G507" s="17"/>
    </row>
    <row r="508" spans="1:7" s="4" customFormat="1" ht="18.75" x14ac:dyDescent="0.25">
      <c r="A508" s="28">
        <f t="shared" si="13"/>
        <v>471</v>
      </c>
      <c r="B508" s="29" t="s">
        <v>699</v>
      </c>
      <c r="C508" s="29" t="s">
        <v>700</v>
      </c>
      <c r="D508" s="28" t="s">
        <v>438</v>
      </c>
      <c r="E508" s="28">
        <v>7800</v>
      </c>
      <c r="F508" s="5"/>
      <c r="G508" s="17"/>
    </row>
    <row r="509" spans="1:7" s="4" customFormat="1" ht="18.75" x14ac:dyDescent="0.25">
      <c r="A509" s="28">
        <f t="shared" si="13"/>
        <v>472</v>
      </c>
      <c r="B509" s="29" t="s">
        <v>701</v>
      </c>
      <c r="C509" s="29" t="s">
        <v>702</v>
      </c>
      <c r="D509" s="28" t="s">
        <v>356</v>
      </c>
      <c r="E509" s="28">
        <v>3960</v>
      </c>
      <c r="F509" s="5"/>
      <c r="G509" s="17"/>
    </row>
    <row r="510" spans="1:7" s="4" customFormat="1" ht="18.75" x14ac:dyDescent="0.25">
      <c r="A510" s="28">
        <f t="shared" si="13"/>
        <v>473</v>
      </c>
      <c r="B510" s="29" t="s">
        <v>703</v>
      </c>
      <c r="C510" s="29" t="s">
        <v>704</v>
      </c>
      <c r="D510" s="28" t="s">
        <v>490</v>
      </c>
      <c r="E510" s="28">
        <v>2640</v>
      </c>
      <c r="F510" s="5"/>
      <c r="G510" s="17"/>
    </row>
    <row r="511" spans="1:7" s="4" customFormat="1" ht="25.5" x14ac:dyDescent="0.25">
      <c r="A511" s="28">
        <f t="shared" si="13"/>
        <v>474</v>
      </c>
      <c r="B511" s="29" t="s">
        <v>705</v>
      </c>
      <c r="C511" s="29" t="s">
        <v>706</v>
      </c>
      <c r="D511" s="28" t="s">
        <v>356</v>
      </c>
      <c r="E511" s="28">
        <v>10920</v>
      </c>
      <c r="F511" s="5"/>
      <c r="G511" s="17"/>
    </row>
    <row r="512" spans="1:7" s="4" customFormat="1" ht="25.5" x14ac:dyDescent="0.25">
      <c r="A512" s="28">
        <f t="shared" si="13"/>
        <v>475</v>
      </c>
      <c r="B512" s="29" t="s">
        <v>707</v>
      </c>
      <c r="C512" s="29" t="s">
        <v>708</v>
      </c>
      <c r="D512" s="28" t="s">
        <v>356</v>
      </c>
      <c r="E512" s="28">
        <v>3240</v>
      </c>
      <c r="F512" s="5"/>
      <c r="G512" s="17"/>
    </row>
    <row r="513" spans="1:7" s="4" customFormat="1" ht="18.75" x14ac:dyDescent="0.25">
      <c r="A513" s="28">
        <f t="shared" si="13"/>
        <v>476</v>
      </c>
      <c r="B513" s="29" t="s">
        <v>709</v>
      </c>
      <c r="C513" s="29" t="s">
        <v>710</v>
      </c>
      <c r="D513" s="28" t="s">
        <v>356</v>
      </c>
      <c r="E513" s="28">
        <v>6480</v>
      </c>
      <c r="F513" s="5"/>
      <c r="G513" s="17"/>
    </row>
    <row r="514" spans="1:7" s="4" customFormat="1" ht="18.75" x14ac:dyDescent="0.25">
      <c r="A514" s="28">
        <f t="shared" si="13"/>
        <v>477</v>
      </c>
      <c r="B514" s="29" t="s">
        <v>711</v>
      </c>
      <c r="C514" s="29" t="s">
        <v>527</v>
      </c>
      <c r="D514" s="28" t="s">
        <v>356</v>
      </c>
      <c r="E514" s="28">
        <v>3960</v>
      </c>
      <c r="F514" s="5"/>
      <c r="G514" s="17"/>
    </row>
    <row r="515" spans="1:7" s="4" customFormat="1" ht="18.75" x14ac:dyDescent="0.25">
      <c r="A515" s="28">
        <f t="shared" si="13"/>
        <v>478</v>
      </c>
      <c r="B515" s="29" t="s">
        <v>712</v>
      </c>
      <c r="C515" s="29" t="s">
        <v>713</v>
      </c>
      <c r="D515" s="28" t="s">
        <v>356</v>
      </c>
      <c r="E515" s="28">
        <v>6480</v>
      </c>
      <c r="F515" s="5"/>
      <c r="G515" s="17"/>
    </row>
    <row r="516" spans="1:7" s="4" customFormat="1" ht="18.75" x14ac:dyDescent="0.25">
      <c r="A516" s="28">
        <f t="shared" si="13"/>
        <v>479</v>
      </c>
      <c r="B516" s="29" t="s">
        <v>714</v>
      </c>
      <c r="C516" s="29" t="s">
        <v>715</v>
      </c>
      <c r="D516" s="28" t="s">
        <v>356</v>
      </c>
      <c r="E516" s="28">
        <v>2640</v>
      </c>
      <c r="F516" s="5"/>
      <c r="G516" s="17"/>
    </row>
    <row r="517" spans="1:7" s="4" customFormat="1" ht="18.75" x14ac:dyDescent="0.25">
      <c r="A517" s="28">
        <f t="shared" si="13"/>
        <v>480</v>
      </c>
      <c r="B517" s="29" t="s">
        <v>716</v>
      </c>
      <c r="C517" s="29" t="s">
        <v>717</v>
      </c>
      <c r="D517" s="28" t="s">
        <v>438</v>
      </c>
      <c r="E517" s="28">
        <v>3240</v>
      </c>
      <c r="F517" s="5"/>
      <c r="G517" s="17"/>
    </row>
    <row r="518" spans="1:7" s="4" customFormat="1" ht="25.5" x14ac:dyDescent="0.25">
      <c r="A518" s="28">
        <f t="shared" si="13"/>
        <v>481</v>
      </c>
      <c r="B518" s="29" t="s">
        <v>718</v>
      </c>
      <c r="C518" s="29" t="s">
        <v>719</v>
      </c>
      <c r="D518" s="28" t="s">
        <v>356</v>
      </c>
      <c r="E518" s="28">
        <v>4560</v>
      </c>
      <c r="F518" s="5"/>
      <c r="G518" s="17"/>
    </row>
    <row r="519" spans="1:7" s="4" customFormat="1" ht="18.75" x14ac:dyDescent="0.25">
      <c r="A519" s="28">
        <f t="shared" si="13"/>
        <v>482</v>
      </c>
      <c r="B519" s="29" t="s">
        <v>720</v>
      </c>
      <c r="C519" s="29" t="s">
        <v>721</v>
      </c>
      <c r="D519" s="28" t="s">
        <v>356</v>
      </c>
      <c r="E519" s="28">
        <v>5160</v>
      </c>
      <c r="F519" s="5"/>
      <c r="G519" s="17"/>
    </row>
    <row r="520" spans="1:7" s="4" customFormat="1" ht="27" customHeight="1" x14ac:dyDescent="0.25">
      <c r="A520" s="28">
        <f t="shared" si="13"/>
        <v>483</v>
      </c>
      <c r="B520" s="29" t="s">
        <v>722</v>
      </c>
      <c r="C520" s="29" t="s">
        <v>723</v>
      </c>
      <c r="D520" s="28" t="s">
        <v>356</v>
      </c>
      <c r="E520" s="28">
        <v>5160</v>
      </c>
      <c r="F520" s="5"/>
      <c r="G520" s="17"/>
    </row>
    <row r="521" spans="1:7" s="4" customFormat="1" ht="18.75" x14ac:dyDescent="0.25">
      <c r="A521" s="28">
        <f t="shared" si="13"/>
        <v>484</v>
      </c>
      <c r="B521" s="29" t="s">
        <v>724</v>
      </c>
      <c r="C521" s="29" t="s">
        <v>725</v>
      </c>
      <c r="D521" s="28" t="s">
        <v>356</v>
      </c>
      <c r="E521" s="28">
        <v>3960</v>
      </c>
      <c r="F521" s="5"/>
      <c r="G521" s="17"/>
    </row>
    <row r="522" spans="1:7" s="4" customFormat="1" ht="18.75" x14ac:dyDescent="0.25">
      <c r="A522" s="28">
        <f t="shared" si="13"/>
        <v>485</v>
      </c>
      <c r="B522" s="29" t="s">
        <v>726</v>
      </c>
      <c r="C522" s="29"/>
      <c r="D522" s="28" t="s">
        <v>356</v>
      </c>
      <c r="E522" s="28">
        <v>3240</v>
      </c>
      <c r="F522" s="5"/>
      <c r="G522" s="17"/>
    </row>
    <row r="523" spans="1:7" s="4" customFormat="1" ht="18.75" x14ac:dyDescent="0.25">
      <c r="A523" s="28">
        <f t="shared" si="13"/>
        <v>486</v>
      </c>
      <c r="B523" s="29" t="s">
        <v>727</v>
      </c>
      <c r="C523" s="29"/>
      <c r="D523" s="28" t="s">
        <v>356</v>
      </c>
      <c r="E523" s="28">
        <v>6480</v>
      </c>
      <c r="F523" s="5"/>
      <c r="G523" s="17"/>
    </row>
    <row r="524" spans="1:7" s="4" customFormat="1" ht="18.75" x14ac:dyDescent="0.25">
      <c r="A524" s="28">
        <f>A523+1</f>
        <v>487</v>
      </c>
      <c r="B524" s="29" t="s">
        <v>728</v>
      </c>
      <c r="C524" s="29"/>
      <c r="D524" s="28" t="s">
        <v>356</v>
      </c>
      <c r="E524" s="28">
        <v>5160</v>
      </c>
      <c r="F524" s="5"/>
      <c r="G524" s="17"/>
    </row>
    <row r="525" spans="1:7" s="4" customFormat="1" ht="18.75" x14ac:dyDescent="0.25">
      <c r="A525" s="28">
        <f t="shared" si="13"/>
        <v>488</v>
      </c>
      <c r="B525" s="29" t="s">
        <v>729</v>
      </c>
      <c r="C525" s="29" t="s">
        <v>585</v>
      </c>
      <c r="D525" s="28" t="s">
        <v>356</v>
      </c>
      <c r="E525" s="28">
        <v>2640</v>
      </c>
      <c r="F525" s="5"/>
      <c r="G525" s="17"/>
    </row>
    <row r="526" spans="1:7" s="4" customFormat="1" ht="18.75" x14ac:dyDescent="0.25">
      <c r="A526" s="28">
        <f t="shared" si="13"/>
        <v>489</v>
      </c>
      <c r="B526" s="29" t="s">
        <v>730</v>
      </c>
      <c r="C526" s="29" t="s">
        <v>731</v>
      </c>
      <c r="D526" s="28" t="s">
        <v>356</v>
      </c>
      <c r="E526" s="28">
        <v>2640</v>
      </c>
      <c r="F526" s="5"/>
      <c r="G526" s="17"/>
    </row>
    <row r="527" spans="1:7" s="4" customFormat="1" ht="18.75" x14ac:dyDescent="0.25">
      <c r="A527" s="28">
        <f t="shared" si="13"/>
        <v>490</v>
      </c>
      <c r="B527" s="29" t="s">
        <v>732</v>
      </c>
      <c r="C527" s="29" t="s">
        <v>733</v>
      </c>
      <c r="D527" s="28" t="s">
        <v>356</v>
      </c>
      <c r="E527" s="28">
        <v>2640</v>
      </c>
      <c r="F527" s="5"/>
      <c r="G527" s="17"/>
    </row>
    <row r="528" spans="1:7" s="4" customFormat="1" ht="25.5" x14ac:dyDescent="0.25">
      <c r="A528" s="28">
        <f t="shared" si="13"/>
        <v>491</v>
      </c>
      <c r="B528" s="29" t="s">
        <v>734</v>
      </c>
      <c r="C528" s="29" t="s">
        <v>563</v>
      </c>
      <c r="D528" s="28" t="s">
        <v>356</v>
      </c>
      <c r="E528" s="28">
        <v>5160</v>
      </c>
      <c r="F528" s="5"/>
      <c r="G528" s="17"/>
    </row>
    <row r="529" spans="1:10" s="4" customFormat="1" ht="18.75" x14ac:dyDescent="0.25">
      <c r="A529" s="28">
        <f t="shared" si="13"/>
        <v>492</v>
      </c>
      <c r="B529" s="29" t="s">
        <v>735</v>
      </c>
      <c r="C529" s="29" t="s">
        <v>736</v>
      </c>
      <c r="D529" s="28" t="s">
        <v>490</v>
      </c>
      <c r="E529" s="28">
        <v>3960</v>
      </c>
      <c r="F529" s="5"/>
      <c r="G529" s="17"/>
    </row>
    <row r="530" spans="1:10" s="4" customFormat="1" ht="18.75" customHeight="1" x14ac:dyDescent="0.25">
      <c r="A530" s="139" t="s">
        <v>737</v>
      </c>
      <c r="B530" s="140"/>
      <c r="C530" s="140"/>
      <c r="D530" s="140"/>
      <c r="E530" s="141"/>
      <c r="F530" s="5"/>
      <c r="G530" s="17"/>
    </row>
    <row r="531" spans="1:10" s="4" customFormat="1" ht="18.75" x14ac:dyDescent="0.25">
      <c r="A531" s="28">
        <f>A529+1</f>
        <v>493</v>
      </c>
      <c r="B531" s="29" t="s">
        <v>738</v>
      </c>
      <c r="C531" s="29" t="s">
        <v>739</v>
      </c>
      <c r="D531" s="28" t="s">
        <v>356</v>
      </c>
      <c r="E531" s="28">
        <v>3600</v>
      </c>
      <c r="F531" s="5"/>
      <c r="G531" s="17"/>
    </row>
    <row r="532" spans="1:10" s="4" customFormat="1" ht="18.75" x14ac:dyDescent="0.25">
      <c r="A532" s="28">
        <f>A531+1</f>
        <v>494</v>
      </c>
      <c r="B532" s="29" t="s">
        <v>740</v>
      </c>
      <c r="C532" s="29" t="s">
        <v>741</v>
      </c>
      <c r="D532" s="28" t="s">
        <v>356</v>
      </c>
      <c r="E532" s="28">
        <v>1320</v>
      </c>
      <c r="F532" s="5"/>
      <c r="G532" s="17"/>
    </row>
    <row r="533" spans="1:10" s="4" customFormat="1" ht="18.75" x14ac:dyDescent="0.25">
      <c r="A533" s="28">
        <f t="shared" ref="A533:A543" si="14">A532+1</f>
        <v>495</v>
      </c>
      <c r="B533" s="29" t="s">
        <v>742</v>
      </c>
      <c r="C533" s="29" t="s">
        <v>743</v>
      </c>
      <c r="D533" s="28" t="s">
        <v>356</v>
      </c>
      <c r="E533" s="28">
        <v>2040</v>
      </c>
      <c r="F533" s="5"/>
      <c r="G533" s="17"/>
    </row>
    <row r="534" spans="1:10" s="4" customFormat="1" ht="25.5" x14ac:dyDescent="0.25">
      <c r="A534" s="28">
        <f t="shared" si="14"/>
        <v>496</v>
      </c>
      <c r="B534" s="29" t="s">
        <v>744</v>
      </c>
      <c r="C534" s="29" t="s">
        <v>745</v>
      </c>
      <c r="D534" s="28" t="s">
        <v>356</v>
      </c>
      <c r="E534" s="28">
        <v>1200</v>
      </c>
      <c r="F534" s="5"/>
      <c r="G534" s="17"/>
    </row>
    <row r="535" spans="1:10" s="4" customFormat="1" ht="18.75" x14ac:dyDescent="0.25">
      <c r="A535" s="28">
        <f>A534+1</f>
        <v>497</v>
      </c>
      <c r="B535" s="29" t="s">
        <v>746</v>
      </c>
      <c r="C535" s="29" t="s">
        <v>747</v>
      </c>
      <c r="D535" s="28" t="s">
        <v>356</v>
      </c>
      <c r="E535" s="28">
        <v>3240</v>
      </c>
      <c r="F535" s="5"/>
      <c r="G535" s="17"/>
    </row>
    <row r="536" spans="1:10" s="4" customFormat="1" ht="18.75" x14ac:dyDescent="0.25">
      <c r="A536" s="28">
        <f t="shared" si="14"/>
        <v>498</v>
      </c>
      <c r="B536" s="29" t="s">
        <v>748</v>
      </c>
      <c r="C536" s="29" t="s">
        <v>749</v>
      </c>
      <c r="D536" s="28" t="s">
        <v>356</v>
      </c>
      <c r="E536" s="28">
        <v>5880</v>
      </c>
      <c r="F536" s="5"/>
      <c r="G536" s="17"/>
    </row>
    <row r="537" spans="1:10" s="4" customFormat="1" ht="18.75" x14ac:dyDescent="0.25">
      <c r="A537" s="28">
        <f t="shared" si="14"/>
        <v>499</v>
      </c>
      <c r="B537" s="29" t="s">
        <v>750</v>
      </c>
      <c r="C537" s="29" t="s">
        <v>751</v>
      </c>
      <c r="D537" s="28" t="s">
        <v>356</v>
      </c>
      <c r="E537" s="28">
        <v>1320</v>
      </c>
      <c r="F537" s="5"/>
      <c r="G537" s="17"/>
    </row>
    <row r="538" spans="1:10" s="4" customFormat="1" ht="35.25" customHeight="1" x14ac:dyDescent="0.25">
      <c r="A538" s="28">
        <f t="shared" si="14"/>
        <v>500</v>
      </c>
      <c r="B538" s="29" t="s">
        <v>752</v>
      </c>
      <c r="C538" s="29" t="s">
        <v>749</v>
      </c>
      <c r="D538" s="28" t="s">
        <v>356</v>
      </c>
      <c r="E538" s="28">
        <v>1320</v>
      </c>
      <c r="F538" s="5"/>
      <c r="G538" s="17"/>
    </row>
    <row r="539" spans="1:10" s="4" customFormat="1" ht="18.75" x14ac:dyDescent="0.25">
      <c r="A539" s="28">
        <f t="shared" si="14"/>
        <v>501</v>
      </c>
      <c r="B539" s="29" t="s">
        <v>753</v>
      </c>
      <c r="C539" s="29" t="s">
        <v>754</v>
      </c>
      <c r="D539" s="28" t="s">
        <v>356</v>
      </c>
      <c r="E539" s="28">
        <v>1200</v>
      </c>
      <c r="F539" s="5"/>
      <c r="G539" s="17"/>
    </row>
    <row r="540" spans="1:10" s="4" customFormat="1" ht="18.75" x14ac:dyDescent="0.25">
      <c r="A540" s="28">
        <f t="shared" si="14"/>
        <v>502</v>
      </c>
      <c r="B540" s="29" t="s">
        <v>755</v>
      </c>
      <c r="C540" s="29" t="s">
        <v>756</v>
      </c>
      <c r="D540" s="28" t="s">
        <v>356</v>
      </c>
      <c r="E540" s="28">
        <v>840</v>
      </c>
      <c r="F540" s="5"/>
      <c r="G540" s="17"/>
    </row>
    <row r="541" spans="1:10" s="4" customFormat="1" ht="21.75" customHeight="1" x14ac:dyDescent="0.25">
      <c r="A541" s="28">
        <f t="shared" si="14"/>
        <v>503</v>
      </c>
      <c r="B541" s="29" t="s">
        <v>757</v>
      </c>
      <c r="C541" s="29" t="s">
        <v>758</v>
      </c>
      <c r="D541" s="28" t="s">
        <v>356</v>
      </c>
      <c r="E541" s="28">
        <v>2040</v>
      </c>
    </row>
    <row r="542" spans="1:10" s="4" customFormat="1" ht="21.75" customHeight="1" x14ac:dyDescent="0.25">
      <c r="A542" s="28">
        <f>A541+1</f>
        <v>504</v>
      </c>
      <c r="B542" s="33" t="s">
        <v>761</v>
      </c>
      <c r="C542" s="29" t="s">
        <v>762</v>
      </c>
      <c r="D542" s="28" t="s">
        <v>356</v>
      </c>
      <c r="E542" s="28">
        <v>1440</v>
      </c>
      <c r="F542" s="5"/>
      <c r="G542" s="17"/>
    </row>
    <row r="543" spans="1:10" s="4" customFormat="1" ht="25.5" x14ac:dyDescent="0.25">
      <c r="A543" s="28">
        <f t="shared" si="14"/>
        <v>505</v>
      </c>
      <c r="B543" s="46" t="s">
        <v>763</v>
      </c>
      <c r="C543" s="51" t="s">
        <v>764</v>
      </c>
      <c r="D543" s="32" t="s">
        <v>356</v>
      </c>
      <c r="E543" s="28">
        <v>1080</v>
      </c>
      <c r="F543" s="5"/>
      <c r="G543" s="17"/>
    </row>
    <row r="544" spans="1:10" s="4" customFormat="1" ht="19.5" customHeight="1" x14ac:dyDescent="0.25">
      <c r="A544" s="139" t="s">
        <v>765</v>
      </c>
      <c r="B544" s="140"/>
      <c r="C544" s="140"/>
      <c r="D544" s="140"/>
      <c r="E544" s="141"/>
      <c r="F544" s="5"/>
      <c r="G544" s="17"/>
      <c r="H544" s="11"/>
      <c r="I544" s="11"/>
      <c r="J544" s="11"/>
    </row>
    <row r="545" spans="1:11" s="4" customFormat="1" ht="18.75" x14ac:dyDescent="0.25">
      <c r="A545" s="28">
        <f>A543+1</f>
        <v>506</v>
      </c>
      <c r="B545" s="29" t="s">
        <v>766</v>
      </c>
      <c r="C545" s="29" t="s">
        <v>767</v>
      </c>
      <c r="D545" s="28" t="s">
        <v>768</v>
      </c>
      <c r="E545" s="28">
        <v>12840</v>
      </c>
      <c r="F545" s="5"/>
      <c r="G545" s="17"/>
    </row>
    <row r="546" spans="1:11" s="4" customFormat="1" ht="18.75" x14ac:dyDescent="0.25">
      <c r="A546" s="28">
        <f t="shared" ref="A546:A551" si="15">A545+1</f>
        <v>507</v>
      </c>
      <c r="B546" s="29" t="s">
        <v>769</v>
      </c>
      <c r="C546" s="29"/>
      <c r="D546" s="28" t="s">
        <v>768</v>
      </c>
      <c r="E546" s="28">
        <v>1200</v>
      </c>
      <c r="F546" s="5"/>
      <c r="G546" s="17"/>
    </row>
    <row r="547" spans="1:11" s="4" customFormat="1" ht="18.75" x14ac:dyDescent="0.25">
      <c r="A547" s="28">
        <f t="shared" si="15"/>
        <v>508</v>
      </c>
      <c r="B547" s="29" t="s">
        <v>770</v>
      </c>
      <c r="C547" s="29"/>
      <c r="D547" s="28" t="s">
        <v>768</v>
      </c>
      <c r="E547" s="28">
        <v>2400</v>
      </c>
      <c r="F547" s="5"/>
      <c r="G547" s="17"/>
    </row>
    <row r="548" spans="1:11" s="4" customFormat="1" ht="25.5" x14ac:dyDescent="0.25">
      <c r="A548" s="28">
        <f t="shared" si="15"/>
        <v>509</v>
      </c>
      <c r="B548" s="29" t="s">
        <v>771</v>
      </c>
      <c r="C548" s="29"/>
      <c r="D548" s="28" t="s">
        <v>768</v>
      </c>
      <c r="E548" s="28">
        <v>2400</v>
      </c>
      <c r="F548" s="5"/>
      <c r="G548" s="17"/>
    </row>
    <row r="549" spans="1:11" s="4" customFormat="1" ht="18.75" x14ac:dyDescent="0.25">
      <c r="A549" s="28">
        <f t="shared" si="15"/>
        <v>510</v>
      </c>
      <c r="B549" s="29" t="s">
        <v>772</v>
      </c>
      <c r="C549" s="29"/>
      <c r="D549" s="28" t="s">
        <v>768</v>
      </c>
      <c r="E549" s="28">
        <v>600</v>
      </c>
      <c r="F549" s="5"/>
      <c r="G549" s="17"/>
    </row>
    <row r="550" spans="1:11" s="4" customFormat="1" ht="25.5" x14ac:dyDescent="0.25">
      <c r="A550" s="28">
        <f t="shared" si="15"/>
        <v>511</v>
      </c>
      <c r="B550" s="29" t="s">
        <v>773</v>
      </c>
      <c r="C550" s="29"/>
      <c r="D550" s="28" t="s">
        <v>768</v>
      </c>
      <c r="E550" s="28">
        <v>4200</v>
      </c>
      <c r="F550" s="5"/>
      <c r="G550" s="17"/>
    </row>
    <row r="551" spans="1:11" s="4" customFormat="1" ht="25.5" x14ac:dyDescent="0.25">
      <c r="A551" s="28">
        <f t="shared" si="15"/>
        <v>512</v>
      </c>
      <c r="B551" s="29" t="s">
        <v>774</v>
      </c>
      <c r="C551" s="29"/>
      <c r="D551" s="28" t="s">
        <v>768</v>
      </c>
      <c r="E551" s="28">
        <v>4800</v>
      </c>
      <c r="F551" s="5"/>
      <c r="G551" s="17"/>
      <c r="H551" s="11"/>
      <c r="I551" s="11"/>
      <c r="J551" s="11"/>
    </row>
    <row r="552" spans="1:11" s="4" customFormat="1" ht="18.75" customHeight="1" x14ac:dyDescent="0.25">
      <c r="A552" s="139" t="s">
        <v>775</v>
      </c>
      <c r="B552" s="140"/>
      <c r="C552" s="140"/>
      <c r="D552" s="140"/>
      <c r="E552" s="141"/>
      <c r="F552" s="5"/>
      <c r="G552" s="17"/>
      <c r="H552" s="11"/>
      <c r="I552" s="11"/>
      <c r="J552" s="11"/>
      <c r="K552" s="11"/>
    </row>
    <row r="553" spans="1:11" s="4" customFormat="1" ht="18.75" x14ac:dyDescent="0.25">
      <c r="A553" s="28">
        <f>A551+1</f>
        <v>513</v>
      </c>
      <c r="B553" s="33" t="s">
        <v>776</v>
      </c>
      <c r="C553" s="28" t="s">
        <v>777</v>
      </c>
      <c r="D553" s="28" t="s">
        <v>15</v>
      </c>
      <c r="E553" s="28">
        <v>12840</v>
      </c>
      <c r="F553" s="5"/>
      <c r="G553" s="17"/>
      <c r="H553" s="11"/>
      <c r="I553" s="11"/>
      <c r="J553" s="11"/>
      <c r="K553" s="11"/>
    </row>
    <row r="554" spans="1:11" s="11" customFormat="1" ht="18.75" x14ac:dyDescent="0.25">
      <c r="A554" s="28">
        <f>A553+1</f>
        <v>514</v>
      </c>
      <c r="B554" s="29" t="s">
        <v>778</v>
      </c>
      <c r="C554" s="29" t="s">
        <v>779</v>
      </c>
      <c r="D554" s="52" t="s">
        <v>438</v>
      </c>
      <c r="E554" s="28">
        <v>124560</v>
      </c>
      <c r="F554" s="5"/>
      <c r="G554" s="17"/>
      <c r="H554" s="4"/>
      <c r="I554" s="4"/>
      <c r="J554" s="4"/>
      <c r="K554" s="4"/>
    </row>
    <row r="555" spans="1:11" s="11" customFormat="1" ht="18.75" x14ac:dyDescent="0.25">
      <c r="A555" s="28">
        <f>A554+1</f>
        <v>515</v>
      </c>
      <c r="B555" s="38" t="s">
        <v>780</v>
      </c>
      <c r="C555" s="39" t="s">
        <v>781</v>
      </c>
      <c r="D555" s="40" t="s">
        <v>438</v>
      </c>
      <c r="E555" s="28">
        <v>19320</v>
      </c>
      <c r="F555" s="5"/>
      <c r="G555" s="17"/>
      <c r="K555" s="4"/>
    </row>
    <row r="556" spans="1:11" s="4" customFormat="1" ht="18.75" x14ac:dyDescent="0.25">
      <c r="A556" s="28">
        <f>A555+1</f>
        <v>516</v>
      </c>
      <c r="B556" s="29" t="s">
        <v>782</v>
      </c>
      <c r="C556" s="29" t="s">
        <v>783</v>
      </c>
      <c r="D556" s="52" t="s">
        <v>784</v>
      </c>
      <c r="E556" s="28">
        <v>19320</v>
      </c>
      <c r="F556" s="5"/>
      <c r="G556" s="17"/>
      <c r="H556" s="11"/>
      <c r="I556" s="11"/>
      <c r="J556" s="11"/>
    </row>
    <row r="557" spans="1:11" s="4" customFormat="1" ht="18.75" x14ac:dyDescent="0.25">
      <c r="A557" s="28">
        <f t="shared" ref="A557:A611" si="16">A556+1</f>
        <v>517</v>
      </c>
      <c r="B557" s="29" t="s">
        <v>785</v>
      </c>
      <c r="C557" s="29" t="s">
        <v>786</v>
      </c>
      <c r="D557" s="52" t="s">
        <v>438</v>
      </c>
      <c r="E557" s="28">
        <v>51360</v>
      </c>
      <c r="F557" s="5"/>
      <c r="G557" s="17"/>
      <c r="H557" s="11"/>
      <c r="I557" s="11"/>
      <c r="J557" s="11"/>
    </row>
    <row r="558" spans="1:11" s="4" customFormat="1" ht="32.25" customHeight="1" x14ac:dyDescent="0.25">
      <c r="A558" s="28">
        <f t="shared" si="16"/>
        <v>518</v>
      </c>
      <c r="B558" s="29" t="s">
        <v>787</v>
      </c>
      <c r="C558" s="29" t="s">
        <v>788</v>
      </c>
      <c r="D558" s="28" t="s">
        <v>467</v>
      </c>
      <c r="E558" s="28">
        <v>38520</v>
      </c>
      <c r="F558" s="5"/>
      <c r="G558" s="17"/>
      <c r="H558" s="11"/>
      <c r="I558" s="11"/>
      <c r="J558" s="11"/>
    </row>
    <row r="559" spans="1:11" s="4" customFormat="1" ht="32.25" customHeight="1" x14ac:dyDescent="0.25">
      <c r="A559" s="28">
        <f t="shared" si="16"/>
        <v>519</v>
      </c>
      <c r="B559" s="29" t="s">
        <v>789</v>
      </c>
      <c r="C559" s="29" t="s">
        <v>790</v>
      </c>
      <c r="D559" s="28" t="s">
        <v>467</v>
      </c>
      <c r="E559" s="28">
        <v>42480</v>
      </c>
      <c r="F559" s="5"/>
      <c r="G559" s="17"/>
    </row>
    <row r="560" spans="1:11" s="4" customFormat="1" ht="32.25" customHeight="1" x14ac:dyDescent="0.25">
      <c r="A560" s="28">
        <f t="shared" si="16"/>
        <v>520</v>
      </c>
      <c r="B560" s="29" t="s">
        <v>791</v>
      </c>
      <c r="C560" s="29" t="s">
        <v>792</v>
      </c>
      <c r="D560" s="28" t="s">
        <v>438</v>
      </c>
      <c r="E560" s="28">
        <v>51360</v>
      </c>
      <c r="F560" s="5"/>
      <c r="G560" s="17"/>
      <c r="K560" s="11"/>
    </row>
    <row r="561" spans="1:11" s="11" customFormat="1" ht="32.25" customHeight="1" x14ac:dyDescent="0.25">
      <c r="A561" s="28">
        <f t="shared" si="16"/>
        <v>521</v>
      </c>
      <c r="B561" s="29" t="s">
        <v>793</v>
      </c>
      <c r="C561" s="29" t="s">
        <v>794</v>
      </c>
      <c r="D561" s="28" t="s">
        <v>467</v>
      </c>
      <c r="E561" s="28">
        <v>45000</v>
      </c>
      <c r="F561" s="5"/>
      <c r="G561" s="17"/>
      <c r="H561" s="4"/>
      <c r="I561" s="4"/>
      <c r="J561" s="4"/>
    </row>
    <row r="562" spans="1:11" s="11" customFormat="1" ht="32.25" customHeight="1" x14ac:dyDescent="0.25">
      <c r="A562" s="28">
        <f t="shared" si="16"/>
        <v>522</v>
      </c>
      <c r="B562" s="29" t="s">
        <v>795</v>
      </c>
      <c r="C562" s="29" t="s">
        <v>796</v>
      </c>
      <c r="D562" s="28" t="s">
        <v>467</v>
      </c>
      <c r="E562" s="28">
        <v>27000</v>
      </c>
      <c r="F562" s="5"/>
      <c r="G562" s="17"/>
    </row>
    <row r="563" spans="1:11" s="11" customFormat="1" ht="32.25" customHeight="1" x14ac:dyDescent="0.25">
      <c r="A563" s="28">
        <f t="shared" si="16"/>
        <v>523</v>
      </c>
      <c r="B563" s="29" t="s">
        <v>797</v>
      </c>
      <c r="C563" s="29" t="s">
        <v>798</v>
      </c>
      <c r="D563" s="28" t="s">
        <v>467</v>
      </c>
      <c r="E563" s="28">
        <v>48840</v>
      </c>
      <c r="F563" s="5"/>
      <c r="G563" s="17"/>
      <c r="K563" s="4"/>
    </row>
    <row r="564" spans="1:11" s="4" customFormat="1" ht="32.25" customHeight="1" x14ac:dyDescent="0.25">
      <c r="A564" s="28">
        <f t="shared" si="16"/>
        <v>524</v>
      </c>
      <c r="B564" s="29" t="s">
        <v>799</v>
      </c>
      <c r="C564" s="29" t="s">
        <v>800</v>
      </c>
      <c r="D564" s="28" t="s">
        <v>467</v>
      </c>
      <c r="E564" s="28">
        <v>28320</v>
      </c>
      <c r="F564" s="5"/>
      <c r="G564" s="17"/>
      <c r="H564" s="11"/>
      <c r="I564" s="11"/>
      <c r="J564" s="11"/>
      <c r="K564" s="11"/>
    </row>
    <row r="565" spans="1:11" s="11" customFormat="1" ht="37.5" customHeight="1" x14ac:dyDescent="0.25">
      <c r="A565" s="28">
        <f>A564+1</f>
        <v>525</v>
      </c>
      <c r="B565" s="29" t="s">
        <v>801</v>
      </c>
      <c r="C565" s="29" t="s">
        <v>802</v>
      </c>
      <c r="D565" s="28" t="s">
        <v>467</v>
      </c>
      <c r="E565" s="28">
        <v>28320</v>
      </c>
      <c r="F565" s="5"/>
      <c r="G565" s="17"/>
    </row>
    <row r="566" spans="1:11" s="11" customFormat="1" ht="37.5" customHeight="1" x14ac:dyDescent="0.25">
      <c r="A566" s="28">
        <f t="shared" si="16"/>
        <v>526</v>
      </c>
      <c r="B566" s="29" t="s">
        <v>803</v>
      </c>
      <c r="C566" s="29" t="s">
        <v>804</v>
      </c>
      <c r="D566" s="28" t="s">
        <v>467</v>
      </c>
      <c r="E566" s="28">
        <v>28320</v>
      </c>
      <c r="F566" s="5"/>
      <c r="G566" s="17"/>
    </row>
    <row r="567" spans="1:11" s="11" customFormat="1" ht="18.75" x14ac:dyDescent="0.25">
      <c r="A567" s="28">
        <f t="shared" si="16"/>
        <v>527</v>
      </c>
      <c r="B567" s="29" t="s">
        <v>805</v>
      </c>
      <c r="C567" s="29" t="s">
        <v>806</v>
      </c>
      <c r="D567" s="52" t="s">
        <v>490</v>
      </c>
      <c r="E567" s="28">
        <v>16800</v>
      </c>
      <c r="F567" s="5"/>
      <c r="G567" s="17"/>
    </row>
    <row r="568" spans="1:11" s="11" customFormat="1" ht="18.75" x14ac:dyDescent="0.25">
      <c r="A568" s="28">
        <f t="shared" si="16"/>
        <v>528</v>
      </c>
      <c r="B568" s="29" t="s">
        <v>807</v>
      </c>
      <c r="C568" s="29" t="s">
        <v>808</v>
      </c>
      <c r="D568" s="28" t="s">
        <v>467</v>
      </c>
      <c r="E568" s="28">
        <v>11640</v>
      </c>
      <c r="F568" s="5"/>
      <c r="G568" s="17"/>
      <c r="K568" s="4"/>
    </row>
    <row r="569" spans="1:11" s="11" customFormat="1" ht="18.75" x14ac:dyDescent="0.25">
      <c r="A569" s="28">
        <f t="shared" si="16"/>
        <v>529</v>
      </c>
      <c r="B569" s="38" t="s">
        <v>809</v>
      </c>
      <c r="C569" s="39" t="s">
        <v>810</v>
      </c>
      <c r="D569" s="40" t="s">
        <v>438</v>
      </c>
      <c r="E569" s="28">
        <v>19320</v>
      </c>
      <c r="F569" s="5"/>
      <c r="G569" s="17"/>
      <c r="K569" s="4"/>
    </row>
    <row r="570" spans="1:11" s="4" customFormat="1" ht="18.75" x14ac:dyDescent="0.25">
      <c r="A570" s="28">
        <f t="shared" si="16"/>
        <v>530</v>
      </c>
      <c r="B570" s="29" t="s">
        <v>811</v>
      </c>
      <c r="C570" s="29" t="s">
        <v>812</v>
      </c>
      <c r="D570" s="52" t="s">
        <v>490</v>
      </c>
      <c r="E570" s="28">
        <v>32160</v>
      </c>
      <c r="F570" s="5"/>
      <c r="G570" s="17"/>
      <c r="H570" s="11"/>
      <c r="I570" s="11"/>
      <c r="J570" s="11"/>
    </row>
    <row r="571" spans="1:11" s="4" customFormat="1" ht="18.75" x14ac:dyDescent="0.25">
      <c r="A571" s="28">
        <f t="shared" si="16"/>
        <v>531</v>
      </c>
      <c r="B571" s="29" t="s">
        <v>813</v>
      </c>
      <c r="C571" s="29" t="s">
        <v>814</v>
      </c>
      <c r="D571" s="28" t="s">
        <v>467</v>
      </c>
      <c r="E571" s="28">
        <v>36000</v>
      </c>
      <c r="F571" s="5"/>
      <c r="G571" s="17"/>
      <c r="H571" s="11"/>
      <c r="I571" s="11"/>
      <c r="J571" s="11"/>
      <c r="K571" s="11"/>
    </row>
    <row r="572" spans="1:11" s="11" customFormat="1" ht="18.75" x14ac:dyDescent="0.25">
      <c r="A572" s="28">
        <f t="shared" si="16"/>
        <v>532</v>
      </c>
      <c r="B572" s="29" t="s">
        <v>815</v>
      </c>
      <c r="C572" s="29" t="s">
        <v>816</v>
      </c>
      <c r="D572" s="28" t="s">
        <v>467</v>
      </c>
      <c r="E572" s="28">
        <v>32160</v>
      </c>
      <c r="F572" s="5"/>
      <c r="G572" s="17"/>
    </row>
    <row r="573" spans="1:11" s="11" customFormat="1" ht="18.75" x14ac:dyDescent="0.25">
      <c r="A573" s="28">
        <f t="shared" si="16"/>
        <v>533</v>
      </c>
      <c r="B573" s="29" t="s">
        <v>817</v>
      </c>
      <c r="C573" s="29" t="s">
        <v>818</v>
      </c>
      <c r="D573" s="28" t="s">
        <v>438</v>
      </c>
      <c r="E573" s="28">
        <v>51360</v>
      </c>
      <c r="F573" s="5"/>
      <c r="G573" s="17"/>
    </row>
    <row r="574" spans="1:11" s="11" customFormat="1" ht="25.5" x14ac:dyDescent="0.25">
      <c r="A574" s="28">
        <f t="shared" si="16"/>
        <v>534</v>
      </c>
      <c r="B574" s="29" t="s">
        <v>819</v>
      </c>
      <c r="C574" s="29" t="s">
        <v>820</v>
      </c>
      <c r="D574" s="28" t="s">
        <v>438</v>
      </c>
      <c r="E574" s="28">
        <v>102720</v>
      </c>
      <c r="F574" s="5"/>
      <c r="G574" s="17"/>
    </row>
    <row r="575" spans="1:11" s="11" customFormat="1" ht="18.75" x14ac:dyDescent="0.25">
      <c r="A575" s="28">
        <f t="shared" si="16"/>
        <v>535</v>
      </c>
      <c r="B575" s="29" t="s">
        <v>821</v>
      </c>
      <c r="C575" s="29" t="s">
        <v>822</v>
      </c>
      <c r="D575" s="28" t="s">
        <v>438</v>
      </c>
      <c r="E575" s="28">
        <v>96360</v>
      </c>
      <c r="F575" s="5"/>
      <c r="G575" s="17"/>
    </row>
    <row r="576" spans="1:11" s="11" customFormat="1" ht="18.75" x14ac:dyDescent="0.25">
      <c r="A576" s="28">
        <f t="shared" si="16"/>
        <v>536</v>
      </c>
      <c r="B576" s="29" t="s">
        <v>823</v>
      </c>
      <c r="C576" s="29" t="s">
        <v>824</v>
      </c>
      <c r="D576" s="52" t="s">
        <v>784</v>
      </c>
      <c r="E576" s="28">
        <v>19320</v>
      </c>
      <c r="F576" s="5"/>
      <c r="G576" s="17"/>
    </row>
    <row r="577" spans="1:11" s="11" customFormat="1" ht="18.75" x14ac:dyDescent="0.25">
      <c r="A577" s="28">
        <f t="shared" si="16"/>
        <v>537</v>
      </c>
      <c r="B577" s="29" t="s">
        <v>825</v>
      </c>
      <c r="C577" s="29" t="s">
        <v>826</v>
      </c>
      <c r="D577" s="28" t="s">
        <v>784</v>
      </c>
      <c r="E577" s="28">
        <v>19320</v>
      </c>
      <c r="F577" s="5"/>
      <c r="G577" s="17"/>
    </row>
    <row r="578" spans="1:11" s="11" customFormat="1" ht="18.75" x14ac:dyDescent="0.25">
      <c r="A578" s="28">
        <f t="shared" si="16"/>
        <v>538</v>
      </c>
      <c r="B578" s="29" t="s">
        <v>827</v>
      </c>
      <c r="C578" s="29" t="s">
        <v>828</v>
      </c>
      <c r="D578" s="28" t="s">
        <v>784</v>
      </c>
      <c r="E578" s="28">
        <v>21840</v>
      </c>
      <c r="F578" s="5"/>
      <c r="G578" s="17"/>
    </row>
    <row r="579" spans="1:11" s="11" customFormat="1" ht="18.75" x14ac:dyDescent="0.25">
      <c r="A579" s="28">
        <f t="shared" si="16"/>
        <v>539</v>
      </c>
      <c r="B579" s="29" t="s">
        <v>829</v>
      </c>
      <c r="C579" s="29" t="s">
        <v>830</v>
      </c>
      <c r="D579" s="52" t="s">
        <v>784</v>
      </c>
      <c r="E579" s="28">
        <v>16800</v>
      </c>
      <c r="F579" s="5"/>
      <c r="G579" s="17"/>
    </row>
    <row r="580" spans="1:11" s="11" customFormat="1" ht="18.75" x14ac:dyDescent="0.25">
      <c r="A580" s="28">
        <f t="shared" si="16"/>
        <v>540</v>
      </c>
      <c r="B580" s="29" t="s">
        <v>831</v>
      </c>
      <c r="C580" s="29" t="s">
        <v>832</v>
      </c>
      <c r="D580" s="28" t="s">
        <v>784</v>
      </c>
      <c r="E580" s="28">
        <v>19320</v>
      </c>
      <c r="F580" s="5"/>
      <c r="G580" s="17"/>
    </row>
    <row r="581" spans="1:11" s="11" customFormat="1" ht="25.5" x14ac:dyDescent="0.25">
      <c r="A581" s="28">
        <f t="shared" si="16"/>
        <v>541</v>
      </c>
      <c r="B581" s="33" t="s">
        <v>833</v>
      </c>
      <c r="C581" s="51" t="s">
        <v>834</v>
      </c>
      <c r="D581" s="47" t="s">
        <v>356</v>
      </c>
      <c r="E581" s="28">
        <v>3600</v>
      </c>
      <c r="F581" s="5"/>
      <c r="G581" s="17"/>
      <c r="H581" s="4"/>
      <c r="I581" s="4"/>
      <c r="J581" s="4"/>
    </row>
    <row r="582" spans="1:11" s="11" customFormat="1" ht="18.75" x14ac:dyDescent="0.25">
      <c r="A582" s="28">
        <f t="shared" si="16"/>
        <v>542</v>
      </c>
      <c r="B582" s="29" t="s">
        <v>835</v>
      </c>
      <c r="C582" s="29" t="s">
        <v>836</v>
      </c>
      <c r="D582" s="52" t="s">
        <v>438</v>
      </c>
      <c r="E582" s="28">
        <v>141240</v>
      </c>
      <c r="F582" s="5"/>
      <c r="G582" s="17"/>
      <c r="H582" s="4"/>
      <c r="I582" s="4"/>
      <c r="J582" s="4"/>
    </row>
    <row r="583" spans="1:11" s="11" customFormat="1" ht="18.75" x14ac:dyDescent="0.25">
      <c r="A583" s="28">
        <f t="shared" si="16"/>
        <v>543</v>
      </c>
      <c r="B583" s="29" t="s">
        <v>837</v>
      </c>
      <c r="C583" s="29" t="s">
        <v>838</v>
      </c>
      <c r="D583" s="52" t="s">
        <v>438</v>
      </c>
      <c r="E583" s="28">
        <v>115560</v>
      </c>
      <c r="F583" s="5"/>
      <c r="G583" s="17"/>
      <c r="H583" s="4"/>
      <c r="I583" s="4"/>
      <c r="J583" s="4"/>
    </row>
    <row r="584" spans="1:11" s="11" customFormat="1" ht="25.5" x14ac:dyDescent="0.25">
      <c r="A584" s="28">
        <f t="shared" si="16"/>
        <v>544</v>
      </c>
      <c r="B584" s="29" t="s">
        <v>839</v>
      </c>
      <c r="C584" s="29" t="s">
        <v>840</v>
      </c>
      <c r="D584" s="28" t="s">
        <v>438</v>
      </c>
      <c r="E584" s="28">
        <v>57840</v>
      </c>
      <c r="F584" s="5"/>
      <c r="G584" s="17"/>
      <c r="H584" s="4"/>
      <c r="I584" s="4"/>
      <c r="J584" s="4"/>
    </row>
    <row r="585" spans="1:11" s="11" customFormat="1" ht="33" customHeight="1" x14ac:dyDescent="0.25">
      <c r="A585" s="28">
        <f t="shared" si="16"/>
        <v>545</v>
      </c>
      <c r="B585" s="46" t="s">
        <v>841</v>
      </c>
      <c r="C585" s="51" t="s">
        <v>842</v>
      </c>
      <c r="D585" s="47" t="s">
        <v>356</v>
      </c>
      <c r="E585" s="28">
        <v>3960</v>
      </c>
      <c r="F585" s="5"/>
      <c r="G585" s="17"/>
      <c r="H585" s="4"/>
      <c r="I585" s="4"/>
      <c r="J585" s="4"/>
    </row>
    <row r="586" spans="1:11" s="11" customFormat="1" ht="33" customHeight="1" x14ac:dyDescent="0.25">
      <c r="A586" s="28">
        <f t="shared" si="16"/>
        <v>546</v>
      </c>
      <c r="B586" s="29" t="s">
        <v>843</v>
      </c>
      <c r="C586" s="29" t="s">
        <v>844</v>
      </c>
      <c r="D586" s="28" t="s">
        <v>438</v>
      </c>
      <c r="E586" s="28">
        <v>47040</v>
      </c>
      <c r="F586" s="5"/>
      <c r="G586" s="17"/>
      <c r="H586" s="4"/>
      <c r="I586" s="4"/>
      <c r="J586" s="4"/>
    </row>
    <row r="587" spans="1:11" s="11" customFormat="1" ht="33" customHeight="1" x14ac:dyDescent="0.25">
      <c r="A587" s="28">
        <f t="shared" si="16"/>
        <v>547</v>
      </c>
      <c r="B587" s="29" t="s">
        <v>845</v>
      </c>
      <c r="C587" s="29" t="s">
        <v>846</v>
      </c>
      <c r="D587" s="28" t="s">
        <v>467</v>
      </c>
      <c r="E587" s="28">
        <v>45000</v>
      </c>
      <c r="F587" s="5"/>
      <c r="G587" s="17"/>
      <c r="H587" s="4"/>
      <c r="I587" s="4"/>
      <c r="J587" s="4"/>
    </row>
    <row r="588" spans="1:11" s="11" customFormat="1" ht="30" customHeight="1" x14ac:dyDescent="0.25">
      <c r="A588" s="28">
        <f t="shared" si="16"/>
        <v>548</v>
      </c>
      <c r="B588" s="29" t="s">
        <v>847</v>
      </c>
      <c r="C588" s="29" t="s">
        <v>848</v>
      </c>
      <c r="D588" s="28" t="s">
        <v>467</v>
      </c>
      <c r="E588" s="28">
        <v>57840</v>
      </c>
      <c r="F588" s="5"/>
      <c r="G588" s="17"/>
      <c r="H588" s="4"/>
      <c r="I588" s="4"/>
      <c r="J588" s="4"/>
    </row>
    <row r="589" spans="1:11" s="11" customFormat="1" ht="30" customHeight="1" x14ac:dyDescent="0.25">
      <c r="A589" s="28">
        <f t="shared" si="16"/>
        <v>549</v>
      </c>
      <c r="B589" s="29" t="s">
        <v>849</v>
      </c>
      <c r="C589" s="29" t="s">
        <v>850</v>
      </c>
      <c r="D589" s="28" t="s">
        <v>467</v>
      </c>
      <c r="E589" s="28">
        <v>96360</v>
      </c>
      <c r="F589" s="5"/>
      <c r="G589" s="17"/>
      <c r="H589" s="4"/>
      <c r="I589" s="4"/>
      <c r="J589" s="4"/>
    </row>
    <row r="590" spans="1:11" s="11" customFormat="1" ht="30" customHeight="1" x14ac:dyDescent="0.25">
      <c r="A590" s="28">
        <f t="shared" si="16"/>
        <v>550</v>
      </c>
      <c r="B590" s="29" t="s">
        <v>851</v>
      </c>
      <c r="C590" s="29" t="s">
        <v>852</v>
      </c>
      <c r="D590" s="28" t="s">
        <v>467</v>
      </c>
      <c r="E590" s="28">
        <v>89880</v>
      </c>
      <c r="F590" s="5"/>
      <c r="G590" s="17"/>
      <c r="H590" s="4"/>
      <c r="I590" s="4"/>
      <c r="J590" s="4"/>
      <c r="K590" s="4"/>
    </row>
    <row r="591" spans="1:11" s="4" customFormat="1" ht="30" customHeight="1" x14ac:dyDescent="0.25">
      <c r="A591" s="28">
        <f t="shared" si="16"/>
        <v>551</v>
      </c>
      <c r="B591" s="29" t="s">
        <v>853</v>
      </c>
      <c r="C591" s="29" t="s">
        <v>854</v>
      </c>
      <c r="D591" s="28" t="s">
        <v>438</v>
      </c>
      <c r="E591" s="28">
        <v>122040</v>
      </c>
      <c r="F591" s="5"/>
      <c r="G591" s="17"/>
    </row>
    <row r="592" spans="1:11" s="4" customFormat="1" ht="30" customHeight="1" x14ac:dyDescent="0.25">
      <c r="A592" s="28">
        <f t="shared" si="16"/>
        <v>552</v>
      </c>
      <c r="B592" s="29" t="s">
        <v>855</v>
      </c>
      <c r="C592" s="29" t="s">
        <v>856</v>
      </c>
      <c r="D592" s="28" t="s">
        <v>352</v>
      </c>
      <c r="E592" s="28">
        <v>2640</v>
      </c>
      <c r="F592" s="5"/>
      <c r="G592" s="17"/>
    </row>
    <row r="593" spans="1:11" s="4" customFormat="1" ht="30" customHeight="1" x14ac:dyDescent="0.25">
      <c r="A593" s="28">
        <f t="shared" si="16"/>
        <v>553</v>
      </c>
      <c r="B593" s="29" t="s">
        <v>857</v>
      </c>
      <c r="C593" s="29" t="s">
        <v>858</v>
      </c>
      <c r="D593" s="28" t="s">
        <v>467</v>
      </c>
      <c r="E593" s="28">
        <v>10320</v>
      </c>
      <c r="F593" s="5"/>
      <c r="G593" s="17"/>
    </row>
    <row r="594" spans="1:11" s="4" customFormat="1" ht="24.75" customHeight="1" x14ac:dyDescent="0.25">
      <c r="A594" s="28">
        <f t="shared" si="16"/>
        <v>554</v>
      </c>
      <c r="B594" s="29" t="s">
        <v>859</v>
      </c>
      <c r="C594" s="29" t="s">
        <v>860</v>
      </c>
      <c r="D594" s="28" t="s">
        <v>467</v>
      </c>
      <c r="E594" s="28">
        <v>32160</v>
      </c>
      <c r="F594" s="5"/>
      <c r="G594" s="17"/>
    </row>
    <row r="595" spans="1:11" s="4" customFormat="1" ht="31.5" customHeight="1" x14ac:dyDescent="0.25">
      <c r="A595" s="28">
        <f t="shared" si="16"/>
        <v>555</v>
      </c>
      <c r="B595" s="29" t="s">
        <v>861</v>
      </c>
      <c r="C595" s="29" t="s">
        <v>854</v>
      </c>
      <c r="D595" s="28" t="s">
        <v>438</v>
      </c>
      <c r="E595" s="28">
        <v>19320</v>
      </c>
      <c r="F595" s="5"/>
      <c r="G595" s="17"/>
    </row>
    <row r="596" spans="1:11" s="4" customFormat="1" ht="33.75" customHeight="1" x14ac:dyDescent="0.25">
      <c r="A596" s="28">
        <f>A595+1</f>
        <v>556</v>
      </c>
      <c r="B596" s="29" t="s">
        <v>862</v>
      </c>
      <c r="C596" s="29" t="s">
        <v>863</v>
      </c>
      <c r="D596" s="28" t="s">
        <v>438</v>
      </c>
      <c r="E596" s="28">
        <v>34680</v>
      </c>
      <c r="F596" s="5"/>
      <c r="G596" s="17"/>
    </row>
    <row r="597" spans="1:11" s="4" customFormat="1" ht="33.75" customHeight="1" x14ac:dyDescent="0.25">
      <c r="A597" s="28">
        <f t="shared" si="16"/>
        <v>557</v>
      </c>
      <c r="B597" s="29" t="s">
        <v>864</v>
      </c>
      <c r="C597" s="29" t="s">
        <v>865</v>
      </c>
      <c r="D597" s="28" t="s">
        <v>438</v>
      </c>
      <c r="E597" s="28">
        <v>45000</v>
      </c>
      <c r="F597" s="5"/>
      <c r="G597" s="17"/>
    </row>
    <row r="598" spans="1:11" s="4" customFormat="1" ht="18.75" x14ac:dyDescent="0.25">
      <c r="A598" s="28">
        <f t="shared" si="16"/>
        <v>558</v>
      </c>
      <c r="B598" s="29" t="s">
        <v>866</v>
      </c>
      <c r="C598" s="29" t="s">
        <v>867</v>
      </c>
      <c r="D598" s="28" t="s">
        <v>438</v>
      </c>
      <c r="E598" s="28">
        <v>89880</v>
      </c>
      <c r="F598" s="5"/>
      <c r="G598" s="17"/>
      <c r="H598" s="11"/>
      <c r="I598" s="11"/>
      <c r="J598" s="11"/>
    </row>
    <row r="599" spans="1:11" s="4" customFormat="1" ht="25.5" x14ac:dyDescent="0.25">
      <c r="A599" s="28">
        <f t="shared" si="16"/>
        <v>559</v>
      </c>
      <c r="B599" s="29" t="s">
        <v>868</v>
      </c>
      <c r="C599" s="29" t="s">
        <v>869</v>
      </c>
      <c r="D599" s="28" t="s">
        <v>438</v>
      </c>
      <c r="E599" s="28">
        <v>57840</v>
      </c>
      <c r="F599" s="5"/>
      <c r="G599" s="17"/>
      <c r="H599" s="11"/>
      <c r="I599" s="11"/>
      <c r="J599" s="11"/>
    </row>
    <row r="600" spans="1:11" s="4" customFormat="1" ht="18.75" x14ac:dyDescent="0.25">
      <c r="A600" s="28">
        <f t="shared" si="16"/>
        <v>560</v>
      </c>
      <c r="B600" s="53" t="s">
        <v>870</v>
      </c>
      <c r="C600" s="54" t="s">
        <v>871</v>
      </c>
      <c r="D600" s="28" t="s">
        <v>467</v>
      </c>
      <c r="E600" s="28">
        <v>21840</v>
      </c>
      <c r="F600" s="5"/>
      <c r="G600" s="17"/>
      <c r="H600" s="11"/>
      <c r="I600" s="11"/>
      <c r="J600" s="11"/>
    </row>
    <row r="601" spans="1:11" s="4" customFormat="1" ht="18.75" x14ac:dyDescent="0.25">
      <c r="A601" s="28">
        <f t="shared" si="16"/>
        <v>561</v>
      </c>
      <c r="B601" s="53" t="s">
        <v>872</v>
      </c>
      <c r="C601" s="54" t="s">
        <v>873</v>
      </c>
      <c r="D601" s="28" t="s">
        <v>467</v>
      </c>
      <c r="E601" s="28">
        <v>19320</v>
      </c>
      <c r="F601" s="5"/>
      <c r="G601" s="17"/>
      <c r="H601" s="11"/>
      <c r="I601" s="11"/>
      <c r="J601" s="11"/>
    </row>
    <row r="602" spans="1:11" s="4" customFormat="1" ht="18.75" x14ac:dyDescent="0.25">
      <c r="A602" s="28">
        <f t="shared" si="16"/>
        <v>562</v>
      </c>
      <c r="B602" s="53" t="s">
        <v>874</v>
      </c>
      <c r="C602" s="54" t="s">
        <v>875</v>
      </c>
      <c r="D602" s="28" t="s">
        <v>467</v>
      </c>
      <c r="E602" s="28">
        <v>32160</v>
      </c>
      <c r="F602" s="5"/>
      <c r="G602" s="17"/>
    </row>
    <row r="603" spans="1:11" s="4" customFormat="1" ht="18.75" x14ac:dyDescent="0.25">
      <c r="A603" s="28">
        <f t="shared" si="16"/>
        <v>563</v>
      </c>
      <c r="B603" s="53" t="s">
        <v>876</v>
      </c>
      <c r="C603" s="54" t="s">
        <v>877</v>
      </c>
      <c r="D603" s="28" t="s">
        <v>467</v>
      </c>
      <c r="E603" s="28">
        <v>16800</v>
      </c>
      <c r="F603" s="5"/>
      <c r="G603" s="17"/>
    </row>
    <row r="604" spans="1:11" s="4" customFormat="1" ht="18.75" x14ac:dyDescent="0.25">
      <c r="A604" s="28">
        <f t="shared" si="16"/>
        <v>564</v>
      </c>
      <c r="B604" s="53" t="s">
        <v>878</v>
      </c>
      <c r="C604" s="54" t="s">
        <v>879</v>
      </c>
      <c r="D604" s="28" t="s">
        <v>467</v>
      </c>
      <c r="E604" s="28">
        <v>3960</v>
      </c>
      <c r="F604" s="5"/>
      <c r="G604" s="17"/>
    </row>
    <row r="605" spans="1:11" s="4" customFormat="1" ht="18.75" x14ac:dyDescent="0.25">
      <c r="A605" s="28">
        <f t="shared" si="16"/>
        <v>565</v>
      </c>
      <c r="B605" s="53" t="s">
        <v>880</v>
      </c>
      <c r="C605" s="54" t="s">
        <v>881</v>
      </c>
      <c r="D605" s="28" t="s">
        <v>467</v>
      </c>
      <c r="E605" s="28">
        <v>19320</v>
      </c>
      <c r="F605" s="5"/>
      <c r="G605" s="17"/>
    </row>
    <row r="606" spans="1:11" s="4" customFormat="1" ht="27" customHeight="1" x14ac:dyDescent="0.25">
      <c r="A606" s="28">
        <f t="shared" si="16"/>
        <v>566</v>
      </c>
      <c r="B606" s="53" t="s">
        <v>882</v>
      </c>
      <c r="C606" s="54" t="s">
        <v>883</v>
      </c>
      <c r="D606" s="28" t="s">
        <v>467</v>
      </c>
      <c r="E606" s="28">
        <v>83520</v>
      </c>
      <c r="F606" s="5"/>
      <c r="G606" s="17"/>
    </row>
    <row r="607" spans="1:11" s="4" customFormat="1" ht="27" customHeight="1" x14ac:dyDescent="0.25">
      <c r="A607" s="28">
        <f t="shared" si="16"/>
        <v>567</v>
      </c>
      <c r="B607" s="53" t="s">
        <v>884</v>
      </c>
      <c r="C607" s="29" t="s">
        <v>885</v>
      </c>
      <c r="D607" s="28" t="s">
        <v>467</v>
      </c>
      <c r="E607" s="28">
        <v>43680</v>
      </c>
      <c r="F607" s="5"/>
      <c r="G607" s="17"/>
      <c r="K607" s="11"/>
    </row>
    <row r="608" spans="1:11" s="11" customFormat="1" ht="27" customHeight="1" x14ac:dyDescent="0.25">
      <c r="A608" s="28">
        <f t="shared" si="16"/>
        <v>568</v>
      </c>
      <c r="B608" s="53" t="s">
        <v>886</v>
      </c>
      <c r="C608" s="29" t="s">
        <v>887</v>
      </c>
      <c r="D608" s="28" t="s">
        <v>467</v>
      </c>
      <c r="E608" s="28">
        <v>54000</v>
      </c>
      <c r="F608" s="5"/>
      <c r="G608" s="17"/>
      <c r="H608" s="14"/>
      <c r="I608" s="14"/>
      <c r="J608" s="14"/>
    </row>
    <row r="609" spans="1:11" s="11" customFormat="1" ht="25.5" x14ac:dyDescent="0.25">
      <c r="A609" s="28">
        <f t="shared" si="16"/>
        <v>569</v>
      </c>
      <c r="B609" s="53" t="s">
        <v>888</v>
      </c>
      <c r="C609" s="54" t="s">
        <v>790</v>
      </c>
      <c r="D609" s="28" t="s">
        <v>467</v>
      </c>
      <c r="E609" s="28">
        <v>42480</v>
      </c>
      <c r="F609" s="5"/>
      <c r="G609" s="17"/>
      <c r="H609" s="14"/>
      <c r="I609" s="14"/>
      <c r="J609" s="14"/>
    </row>
    <row r="610" spans="1:11" s="11" customFormat="1" ht="33.75" customHeight="1" x14ac:dyDescent="0.25">
      <c r="A610" s="28">
        <f t="shared" si="16"/>
        <v>570</v>
      </c>
      <c r="B610" s="53" t="s">
        <v>889</v>
      </c>
      <c r="C610" s="54" t="s">
        <v>890</v>
      </c>
      <c r="D610" s="28" t="s">
        <v>467</v>
      </c>
      <c r="E610" s="28">
        <v>21840</v>
      </c>
      <c r="F610" s="5"/>
      <c r="G610" s="17"/>
      <c r="H610" s="4"/>
      <c r="I610" s="4"/>
      <c r="J610" s="4"/>
    </row>
    <row r="611" spans="1:11" s="11" customFormat="1" ht="33.75" customHeight="1" x14ac:dyDescent="0.25">
      <c r="A611" s="28">
        <f t="shared" si="16"/>
        <v>571</v>
      </c>
      <c r="B611" s="53" t="s">
        <v>891</v>
      </c>
      <c r="C611" s="54" t="s">
        <v>892</v>
      </c>
      <c r="D611" s="28" t="s">
        <v>467</v>
      </c>
      <c r="E611" s="28">
        <v>32160</v>
      </c>
      <c r="F611" s="5"/>
      <c r="G611" s="17"/>
      <c r="H611" s="4"/>
      <c r="I611" s="4"/>
      <c r="J611" s="4"/>
      <c r="K611" s="4"/>
    </row>
    <row r="612" spans="1:11" s="4" customFormat="1" ht="18.75" customHeight="1" x14ac:dyDescent="0.25">
      <c r="A612" s="139" t="s">
        <v>893</v>
      </c>
      <c r="B612" s="140"/>
      <c r="C612" s="140"/>
      <c r="D612" s="140"/>
      <c r="E612" s="141"/>
      <c r="F612" s="5"/>
      <c r="G612" s="17"/>
    </row>
    <row r="613" spans="1:11" s="4" customFormat="1" ht="25.5" x14ac:dyDescent="0.25">
      <c r="A613" s="28">
        <f>A611+1</f>
        <v>572</v>
      </c>
      <c r="B613" s="33" t="s">
        <v>894</v>
      </c>
      <c r="C613" s="29" t="s">
        <v>895</v>
      </c>
      <c r="D613" s="28" t="s">
        <v>356</v>
      </c>
      <c r="E613" s="28">
        <v>3960</v>
      </c>
      <c r="F613" s="5"/>
      <c r="G613" s="17"/>
    </row>
    <row r="614" spans="1:11" s="4" customFormat="1" ht="18.75" x14ac:dyDescent="0.25">
      <c r="A614" s="28">
        <f>A613+1</f>
        <v>573</v>
      </c>
      <c r="B614" s="33" t="s">
        <v>896</v>
      </c>
      <c r="C614" s="29" t="s">
        <v>897</v>
      </c>
      <c r="D614" s="28" t="s">
        <v>356</v>
      </c>
      <c r="E614" s="28">
        <v>3960</v>
      </c>
      <c r="F614" s="5"/>
      <c r="G614" s="17"/>
    </row>
    <row r="615" spans="1:11" s="4" customFormat="1" ht="18.75" x14ac:dyDescent="0.25">
      <c r="A615" s="28">
        <f t="shared" ref="A615:A677" si="17">A614+1</f>
        <v>574</v>
      </c>
      <c r="B615" s="33" t="s">
        <v>898</v>
      </c>
      <c r="C615" s="29" t="s">
        <v>899</v>
      </c>
      <c r="D615" s="28" t="s">
        <v>356</v>
      </c>
      <c r="E615" s="28">
        <v>3240</v>
      </c>
      <c r="F615" s="5"/>
      <c r="G615" s="17"/>
    </row>
    <row r="616" spans="1:11" s="4" customFormat="1" ht="18.75" x14ac:dyDescent="0.25">
      <c r="A616" s="28">
        <f t="shared" si="17"/>
        <v>575</v>
      </c>
      <c r="B616" s="33" t="s">
        <v>900</v>
      </c>
      <c r="C616" s="29" t="s">
        <v>901</v>
      </c>
      <c r="D616" s="28" t="s">
        <v>356</v>
      </c>
      <c r="E616" s="28">
        <v>1800</v>
      </c>
      <c r="F616" s="5"/>
      <c r="G616" s="17"/>
    </row>
    <row r="617" spans="1:11" s="4" customFormat="1" ht="18.75" x14ac:dyDescent="0.25">
      <c r="A617" s="28">
        <f t="shared" si="17"/>
        <v>576</v>
      </c>
      <c r="B617" s="33" t="s">
        <v>902</v>
      </c>
      <c r="C617" s="29" t="s">
        <v>903</v>
      </c>
      <c r="D617" s="28" t="s">
        <v>356</v>
      </c>
      <c r="E617" s="28">
        <v>2760</v>
      </c>
      <c r="F617" s="5"/>
      <c r="G617" s="17"/>
      <c r="K617" s="14"/>
    </row>
    <row r="618" spans="1:11" s="14" customFormat="1" ht="18.75" x14ac:dyDescent="0.25">
      <c r="A618" s="28">
        <f t="shared" si="17"/>
        <v>577</v>
      </c>
      <c r="B618" s="33" t="s">
        <v>904</v>
      </c>
      <c r="C618" s="29" t="s">
        <v>905</v>
      </c>
      <c r="D618" s="28" t="s">
        <v>356</v>
      </c>
      <c r="E618" s="28">
        <v>11640</v>
      </c>
      <c r="F618" s="5"/>
      <c r="G618" s="17"/>
      <c r="H618" s="4"/>
      <c r="I618" s="4"/>
      <c r="J618" s="4"/>
    </row>
    <row r="619" spans="1:11" s="14" customFormat="1" ht="18.75" x14ac:dyDescent="0.25">
      <c r="A619" s="28">
        <f t="shared" si="17"/>
        <v>578</v>
      </c>
      <c r="B619" s="33" t="s">
        <v>906</v>
      </c>
      <c r="C619" s="29" t="s">
        <v>907</v>
      </c>
      <c r="D619" s="28" t="s">
        <v>356</v>
      </c>
      <c r="E619" s="28">
        <v>7080</v>
      </c>
      <c r="F619" s="5"/>
      <c r="G619" s="17"/>
      <c r="H619" s="4"/>
      <c r="I619" s="4"/>
      <c r="J619" s="4"/>
      <c r="K619" s="4"/>
    </row>
    <row r="620" spans="1:11" s="4" customFormat="1" ht="18.75" x14ac:dyDescent="0.25">
      <c r="A620" s="28">
        <f t="shared" si="17"/>
        <v>579</v>
      </c>
      <c r="B620" s="33" t="s">
        <v>908</v>
      </c>
      <c r="C620" s="29" t="s">
        <v>909</v>
      </c>
      <c r="D620" s="28" t="s">
        <v>356</v>
      </c>
      <c r="E620" s="28">
        <v>4560</v>
      </c>
      <c r="F620" s="5"/>
      <c r="G620" s="17"/>
    </row>
    <row r="621" spans="1:11" s="4" customFormat="1" ht="18.75" x14ac:dyDescent="0.25">
      <c r="A621" s="28">
        <f t="shared" si="17"/>
        <v>580</v>
      </c>
      <c r="B621" s="33" t="s">
        <v>910</v>
      </c>
      <c r="C621" s="29" t="s">
        <v>911</v>
      </c>
      <c r="D621" s="28" t="s">
        <v>356</v>
      </c>
      <c r="E621" s="28">
        <v>4320</v>
      </c>
      <c r="F621" s="5"/>
      <c r="G621" s="17"/>
    </row>
    <row r="622" spans="1:11" s="4" customFormat="1" ht="18.75" x14ac:dyDescent="0.25">
      <c r="A622" s="28">
        <f t="shared" si="17"/>
        <v>581</v>
      </c>
      <c r="B622" s="33" t="s">
        <v>912</v>
      </c>
      <c r="C622" s="29" t="s">
        <v>913</v>
      </c>
      <c r="D622" s="28" t="s">
        <v>356</v>
      </c>
      <c r="E622" s="28">
        <v>11640</v>
      </c>
      <c r="F622" s="5"/>
      <c r="G622" s="17"/>
    </row>
    <row r="623" spans="1:11" s="4" customFormat="1" ht="18.75" x14ac:dyDescent="0.25">
      <c r="A623" s="28">
        <f t="shared" si="17"/>
        <v>582</v>
      </c>
      <c r="B623" s="33" t="s">
        <v>914</v>
      </c>
      <c r="C623" s="29" t="s">
        <v>915</v>
      </c>
      <c r="D623" s="28" t="s">
        <v>356</v>
      </c>
      <c r="E623" s="28">
        <v>3000</v>
      </c>
      <c r="F623" s="5"/>
      <c r="G623" s="17"/>
    </row>
    <row r="624" spans="1:11" s="4" customFormat="1" ht="18.75" x14ac:dyDescent="0.25">
      <c r="A624" s="28">
        <f t="shared" si="17"/>
        <v>583</v>
      </c>
      <c r="B624" s="33" t="s">
        <v>916</v>
      </c>
      <c r="C624" s="29" t="s">
        <v>917</v>
      </c>
      <c r="D624" s="28" t="s">
        <v>356</v>
      </c>
      <c r="E624" s="28">
        <v>2280</v>
      </c>
      <c r="F624" s="5"/>
      <c r="G624" s="17"/>
    </row>
    <row r="625" spans="1:7" s="4" customFormat="1" ht="18.75" x14ac:dyDescent="0.25">
      <c r="A625" s="28">
        <f t="shared" si="17"/>
        <v>584</v>
      </c>
      <c r="B625" s="33" t="s">
        <v>918</v>
      </c>
      <c r="C625" s="29" t="s">
        <v>919</v>
      </c>
      <c r="D625" s="28" t="s">
        <v>356</v>
      </c>
      <c r="E625" s="28">
        <v>3240</v>
      </c>
      <c r="F625" s="5"/>
      <c r="G625" s="17"/>
    </row>
    <row r="626" spans="1:7" s="4" customFormat="1" ht="18.75" customHeight="1" x14ac:dyDescent="0.25">
      <c r="A626" s="28">
        <f t="shared" si="17"/>
        <v>585</v>
      </c>
      <c r="B626" s="33" t="s">
        <v>920</v>
      </c>
      <c r="C626" s="29" t="s">
        <v>921</v>
      </c>
      <c r="D626" s="28" t="s">
        <v>356</v>
      </c>
      <c r="E626" s="28">
        <v>4560</v>
      </c>
      <c r="F626" s="5"/>
      <c r="G626" s="17"/>
    </row>
    <row r="627" spans="1:7" s="4" customFormat="1" ht="18.75" x14ac:dyDescent="0.25">
      <c r="A627" s="28">
        <f t="shared" si="17"/>
        <v>586</v>
      </c>
      <c r="B627" s="33" t="s">
        <v>922</v>
      </c>
      <c r="C627" s="29" t="s">
        <v>923</v>
      </c>
      <c r="D627" s="28" t="s">
        <v>356</v>
      </c>
      <c r="E627" s="28">
        <v>19320</v>
      </c>
      <c r="F627" s="5"/>
      <c r="G627" s="17"/>
    </row>
    <row r="628" spans="1:7" s="4" customFormat="1" ht="18.75" x14ac:dyDescent="0.25">
      <c r="A628" s="28">
        <f t="shared" si="17"/>
        <v>587</v>
      </c>
      <c r="B628" s="33" t="s">
        <v>924</v>
      </c>
      <c r="C628" s="29" t="s">
        <v>925</v>
      </c>
      <c r="D628" s="28" t="s">
        <v>356</v>
      </c>
      <c r="E628" s="28">
        <v>3240</v>
      </c>
      <c r="F628" s="5"/>
      <c r="G628" s="17"/>
    </row>
    <row r="629" spans="1:7" s="4" customFormat="1" ht="18.75" x14ac:dyDescent="0.25">
      <c r="A629" s="28">
        <f t="shared" si="17"/>
        <v>588</v>
      </c>
      <c r="B629" s="33" t="s">
        <v>926</v>
      </c>
      <c r="C629" s="29" t="s">
        <v>927</v>
      </c>
      <c r="D629" s="28" t="s">
        <v>356</v>
      </c>
      <c r="E629" s="28">
        <v>2640</v>
      </c>
      <c r="F629" s="5"/>
      <c r="G629" s="17"/>
    </row>
    <row r="630" spans="1:7" s="4" customFormat="1" ht="18.75" x14ac:dyDescent="0.25">
      <c r="A630" s="28">
        <f t="shared" si="17"/>
        <v>589</v>
      </c>
      <c r="B630" s="33" t="s">
        <v>928</v>
      </c>
      <c r="C630" s="29" t="s">
        <v>929</v>
      </c>
      <c r="D630" s="28" t="s">
        <v>356</v>
      </c>
      <c r="E630" s="28">
        <v>3960</v>
      </c>
      <c r="F630" s="5"/>
      <c r="G630" s="17"/>
    </row>
    <row r="631" spans="1:7" s="4" customFormat="1" ht="18.75" x14ac:dyDescent="0.25">
      <c r="A631" s="28">
        <f t="shared" si="17"/>
        <v>590</v>
      </c>
      <c r="B631" s="33" t="s">
        <v>930</v>
      </c>
      <c r="C631" s="29" t="s">
        <v>931</v>
      </c>
      <c r="D631" s="28" t="s">
        <v>356</v>
      </c>
      <c r="E631" s="28">
        <v>3240</v>
      </c>
      <c r="F631" s="5"/>
      <c r="G631" s="17"/>
    </row>
    <row r="632" spans="1:7" s="4" customFormat="1" ht="18.75" x14ac:dyDescent="0.25">
      <c r="A632" s="28">
        <f>A631+1</f>
        <v>591</v>
      </c>
      <c r="B632" s="33" t="s">
        <v>932</v>
      </c>
      <c r="C632" s="29" t="s">
        <v>933</v>
      </c>
      <c r="D632" s="28" t="s">
        <v>356</v>
      </c>
      <c r="E632" s="28">
        <v>2640</v>
      </c>
      <c r="F632" s="5"/>
      <c r="G632" s="17"/>
    </row>
    <row r="633" spans="1:7" s="4" customFormat="1" ht="18.75" x14ac:dyDescent="0.25">
      <c r="A633" s="28">
        <f t="shared" si="17"/>
        <v>592</v>
      </c>
      <c r="B633" s="33" t="s">
        <v>934</v>
      </c>
      <c r="C633" s="29" t="s">
        <v>935</v>
      </c>
      <c r="D633" s="28" t="s">
        <v>356</v>
      </c>
      <c r="E633" s="28">
        <v>4200</v>
      </c>
      <c r="F633" s="5"/>
      <c r="G633" s="17"/>
    </row>
    <row r="634" spans="1:7" s="4" customFormat="1" ht="18.75" x14ac:dyDescent="0.25">
      <c r="A634" s="28">
        <f t="shared" si="17"/>
        <v>593</v>
      </c>
      <c r="B634" s="33" t="s">
        <v>936</v>
      </c>
      <c r="C634" s="29" t="s">
        <v>937</v>
      </c>
      <c r="D634" s="28" t="s">
        <v>356</v>
      </c>
      <c r="E634" s="28">
        <v>9000</v>
      </c>
      <c r="F634" s="5"/>
      <c r="G634" s="17"/>
    </row>
    <row r="635" spans="1:7" s="4" customFormat="1" ht="18.75" x14ac:dyDescent="0.25">
      <c r="A635" s="28">
        <f t="shared" si="17"/>
        <v>594</v>
      </c>
      <c r="B635" s="33" t="s">
        <v>938</v>
      </c>
      <c r="C635" s="29" t="s">
        <v>939</v>
      </c>
      <c r="D635" s="28" t="s">
        <v>356</v>
      </c>
      <c r="E635" s="28">
        <v>3240</v>
      </c>
      <c r="F635" s="5"/>
      <c r="G635" s="17"/>
    </row>
    <row r="636" spans="1:7" s="4" customFormat="1" ht="18.75" x14ac:dyDescent="0.25">
      <c r="A636" s="28">
        <f t="shared" si="17"/>
        <v>595</v>
      </c>
      <c r="B636" s="33" t="s">
        <v>940</v>
      </c>
      <c r="C636" s="29" t="s">
        <v>941</v>
      </c>
      <c r="D636" s="28" t="s">
        <v>356</v>
      </c>
      <c r="E636" s="28">
        <v>3240</v>
      </c>
      <c r="F636" s="5"/>
      <c r="G636" s="17"/>
    </row>
    <row r="637" spans="1:7" s="4" customFormat="1" ht="28.5" customHeight="1" x14ac:dyDescent="0.25">
      <c r="A637" s="28">
        <f t="shared" si="17"/>
        <v>596</v>
      </c>
      <c r="B637" s="33" t="s">
        <v>942</v>
      </c>
      <c r="C637" s="29" t="s">
        <v>943</v>
      </c>
      <c r="D637" s="28" t="s">
        <v>356</v>
      </c>
      <c r="E637" s="28">
        <v>3240</v>
      </c>
      <c r="F637" s="5"/>
      <c r="G637" s="17"/>
    </row>
    <row r="638" spans="1:7" s="4" customFormat="1" ht="18.75" x14ac:dyDescent="0.25">
      <c r="A638" s="28">
        <f t="shared" si="17"/>
        <v>597</v>
      </c>
      <c r="B638" s="33" t="s">
        <v>944</v>
      </c>
      <c r="C638" s="29" t="s">
        <v>945</v>
      </c>
      <c r="D638" s="28" t="s">
        <v>356</v>
      </c>
      <c r="E638" s="28">
        <v>3240</v>
      </c>
      <c r="F638" s="5"/>
      <c r="G638" s="17"/>
    </row>
    <row r="639" spans="1:7" s="4" customFormat="1" ht="18.75" x14ac:dyDescent="0.25">
      <c r="A639" s="28">
        <f t="shared" si="17"/>
        <v>598</v>
      </c>
      <c r="B639" s="33" t="s">
        <v>946</v>
      </c>
      <c r="C639" s="29" t="s">
        <v>947</v>
      </c>
      <c r="D639" s="28" t="s">
        <v>356</v>
      </c>
      <c r="E639" s="28">
        <v>3240</v>
      </c>
      <c r="F639" s="5"/>
      <c r="G639" s="17"/>
    </row>
    <row r="640" spans="1:7" s="4" customFormat="1" ht="18.75" x14ac:dyDescent="0.25">
      <c r="A640" s="28">
        <f t="shared" si="17"/>
        <v>599</v>
      </c>
      <c r="B640" s="33" t="s">
        <v>948</v>
      </c>
      <c r="C640" s="29" t="s">
        <v>949</v>
      </c>
      <c r="D640" s="28" t="s">
        <v>356</v>
      </c>
      <c r="E640" s="28">
        <v>3240</v>
      </c>
      <c r="F640" s="5"/>
      <c r="G640" s="17"/>
    </row>
    <row r="641" spans="1:10" s="4" customFormat="1" ht="18.75" x14ac:dyDescent="0.25">
      <c r="A641" s="28">
        <f t="shared" si="17"/>
        <v>600</v>
      </c>
      <c r="B641" s="33" t="s">
        <v>950</v>
      </c>
      <c r="C641" s="29" t="s">
        <v>951</v>
      </c>
      <c r="D641" s="28" t="s">
        <v>356</v>
      </c>
      <c r="E641" s="28">
        <v>3240</v>
      </c>
      <c r="F641" s="5"/>
      <c r="G641" s="17"/>
    </row>
    <row r="642" spans="1:10" s="4" customFormat="1" ht="18.75" x14ac:dyDescent="0.25">
      <c r="A642" s="28">
        <f t="shared" si="17"/>
        <v>601</v>
      </c>
      <c r="B642" s="33" t="s">
        <v>952</v>
      </c>
      <c r="C642" s="29" t="s">
        <v>953</v>
      </c>
      <c r="D642" s="28" t="s">
        <v>356</v>
      </c>
      <c r="E642" s="28">
        <v>3600</v>
      </c>
      <c r="F642" s="5"/>
      <c r="G642" s="17"/>
    </row>
    <row r="643" spans="1:10" s="4" customFormat="1" ht="18.75" x14ac:dyDescent="0.25">
      <c r="A643" s="28">
        <f t="shared" si="17"/>
        <v>602</v>
      </c>
      <c r="B643" s="33" t="s">
        <v>954</v>
      </c>
      <c r="C643" s="29" t="s">
        <v>955</v>
      </c>
      <c r="D643" s="28" t="s">
        <v>356</v>
      </c>
      <c r="E643" s="28">
        <v>3240</v>
      </c>
      <c r="F643" s="5"/>
      <c r="G643" s="17"/>
    </row>
    <row r="644" spans="1:10" s="4" customFormat="1" ht="18.75" x14ac:dyDescent="0.25">
      <c r="A644" s="28">
        <f t="shared" si="17"/>
        <v>603</v>
      </c>
      <c r="B644" s="33" t="s">
        <v>956</v>
      </c>
      <c r="C644" s="29" t="s">
        <v>957</v>
      </c>
      <c r="D644" s="28" t="s">
        <v>356</v>
      </c>
      <c r="E644" s="28">
        <v>4560</v>
      </c>
      <c r="F644" s="5"/>
      <c r="G644" s="17"/>
    </row>
    <row r="645" spans="1:10" s="4" customFormat="1" ht="18.75" x14ac:dyDescent="0.25">
      <c r="A645" s="28">
        <f t="shared" si="17"/>
        <v>604</v>
      </c>
      <c r="B645" s="33" t="s">
        <v>958</v>
      </c>
      <c r="C645" s="29" t="s">
        <v>959</v>
      </c>
      <c r="D645" s="28" t="s">
        <v>356</v>
      </c>
      <c r="E645" s="28">
        <v>6480</v>
      </c>
      <c r="F645" s="5"/>
      <c r="G645" s="17"/>
    </row>
    <row r="646" spans="1:10" s="4" customFormat="1" ht="18.75" x14ac:dyDescent="0.25">
      <c r="A646" s="28">
        <f t="shared" si="17"/>
        <v>605</v>
      </c>
      <c r="B646" s="33" t="s">
        <v>960</v>
      </c>
      <c r="C646" s="29" t="s">
        <v>961</v>
      </c>
      <c r="D646" s="28" t="s">
        <v>356</v>
      </c>
      <c r="E646" s="28">
        <v>6480</v>
      </c>
      <c r="F646" s="5"/>
      <c r="G646" s="17"/>
    </row>
    <row r="647" spans="1:10" s="4" customFormat="1" ht="18.75" x14ac:dyDescent="0.25">
      <c r="A647" s="28">
        <f t="shared" si="17"/>
        <v>606</v>
      </c>
      <c r="B647" s="33" t="s">
        <v>962</v>
      </c>
      <c r="C647" s="29" t="s">
        <v>963</v>
      </c>
      <c r="D647" s="28" t="s">
        <v>356</v>
      </c>
      <c r="E647" s="28">
        <v>3240</v>
      </c>
      <c r="F647" s="5"/>
      <c r="G647" s="17"/>
    </row>
    <row r="648" spans="1:10" s="4" customFormat="1" ht="18.75" x14ac:dyDescent="0.25">
      <c r="A648" s="28">
        <f t="shared" si="17"/>
        <v>607</v>
      </c>
      <c r="B648" s="33" t="s">
        <v>964</v>
      </c>
      <c r="C648" s="29" t="s">
        <v>965</v>
      </c>
      <c r="D648" s="28" t="s">
        <v>356</v>
      </c>
      <c r="E648" s="28">
        <v>4560</v>
      </c>
      <c r="F648" s="5"/>
      <c r="G648" s="17"/>
      <c r="H648" s="11"/>
      <c r="I648" s="11"/>
      <c r="J648" s="11"/>
    </row>
    <row r="649" spans="1:10" s="4" customFormat="1" ht="18.75" x14ac:dyDescent="0.25">
      <c r="A649" s="28">
        <f t="shared" si="17"/>
        <v>608</v>
      </c>
      <c r="B649" s="33" t="s">
        <v>966</v>
      </c>
      <c r="C649" s="29" t="s">
        <v>967</v>
      </c>
      <c r="D649" s="28" t="s">
        <v>356</v>
      </c>
      <c r="E649" s="28">
        <v>4560</v>
      </c>
      <c r="F649" s="5"/>
      <c r="G649" s="17"/>
    </row>
    <row r="650" spans="1:10" s="4" customFormat="1" ht="18.75" x14ac:dyDescent="0.25">
      <c r="A650" s="28">
        <f t="shared" si="17"/>
        <v>609</v>
      </c>
      <c r="B650" s="33" t="s">
        <v>968</v>
      </c>
      <c r="C650" s="29" t="s">
        <v>969</v>
      </c>
      <c r="D650" s="28" t="s">
        <v>356</v>
      </c>
      <c r="E650" s="28">
        <v>3240</v>
      </c>
      <c r="F650" s="5"/>
      <c r="G650" s="17"/>
    </row>
    <row r="651" spans="1:10" s="4" customFormat="1" ht="25.5" x14ac:dyDescent="0.25">
      <c r="A651" s="28">
        <f t="shared" si="17"/>
        <v>610</v>
      </c>
      <c r="B651" s="33" t="s">
        <v>970</v>
      </c>
      <c r="C651" s="29" t="s">
        <v>971</v>
      </c>
      <c r="D651" s="28" t="s">
        <v>356</v>
      </c>
      <c r="E651" s="28">
        <v>4560</v>
      </c>
      <c r="F651" s="5"/>
      <c r="G651" s="17"/>
    </row>
    <row r="652" spans="1:10" s="4" customFormat="1" ht="18.75" x14ac:dyDescent="0.25">
      <c r="A652" s="28">
        <f t="shared" si="17"/>
        <v>611</v>
      </c>
      <c r="B652" s="33" t="s">
        <v>972</v>
      </c>
      <c r="C652" s="29" t="s">
        <v>973</v>
      </c>
      <c r="D652" s="28" t="s">
        <v>356</v>
      </c>
      <c r="E652" s="28">
        <v>4560</v>
      </c>
      <c r="F652" s="5"/>
      <c r="G652" s="17"/>
    </row>
    <row r="653" spans="1:10" s="4" customFormat="1" ht="18.75" x14ac:dyDescent="0.25">
      <c r="A653" s="28">
        <f t="shared" si="17"/>
        <v>612</v>
      </c>
      <c r="B653" s="33" t="s">
        <v>974</v>
      </c>
      <c r="C653" s="29" t="s">
        <v>975</v>
      </c>
      <c r="D653" s="28" t="s">
        <v>356</v>
      </c>
      <c r="E653" s="28">
        <v>3240</v>
      </c>
      <c r="F653" s="5"/>
      <c r="G653" s="17"/>
    </row>
    <row r="654" spans="1:10" s="4" customFormat="1" ht="18.75" x14ac:dyDescent="0.25">
      <c r="A654" s="28">
        <f t="shared" si="17"/>
        <v>613</v>
      </c>
      <c r="B654" s="33" t="s">
        <v>976</v>
      </c>
      <c r="C654" s="29" t="s">
        <v>977</v>
      </c>
      <c r="D654" s="28" t="s">
        <v>356</v>
      </c>
      <c r="E654" s="28">
        <v>4560</v>
      </c>
      <c r="F654" s="5"/>
      <c r="G654" s="17"/>
    </row>
    <row r="655" spans="1:10" s="4" customFormat="1" ht="18.75" x14ac:dyDescent="0.25">
      <c r="A655" s="28">
        <f t="shared" si="17"/>
        <v>614</v>
      </c>
      <c r="B655" s="33" t="s">
        <v>978</v>
      </c>
      <c r="C655" s="29" t="s">
        <v>979</v>
      </c>
      <c r="D655" s="28" t="s">
        <v>356</v>
      </c>
      <c r="E655" s="28">
        <v>6480</v>
      </c>
      <c r="F655" s="5"/>
      <c r="G655" s="17"/>
    </row>
    <row r="656" spans="1:10" s="4" customFormat="1" ht="18.75" x14ac:dyDescent="0.25">
      <c r="A656" s="28">
        <f t="shared" si="17"/>
        <v>615</v>
      </c>
      <c r="B656" s="33" t="s">
        <v>980</v>
      </c>
      <c r="C656" s="29" t="s">
        <v>981</v>
      </c>
      <c r="D656" s="28" t="s">
        <v>356</v>
      </c>
      <c r="E656" s="28">
        <v>1800</v>
      </c>
      <c r="F656" s="5"/>
      <c r="G656" s="17"/>
    </row>
    <row r="657" spans="1:11" s="4" customFormat="1" ht="18.75" x14ac:dyDescent="0.25">
      <c r="A657" s="28">
        <f t="shared" si="17"/>
        <v>616</v>
      </c>
      <c r="B657" s="33" t="s">
        <v>982</v>
      </c>
      <c r="C657" s="29" t="s">
        <v>983</v>
      </c>
      <c r="D657" s="28" t="s">
        <v>356</v>
      </c>
      <c r="E657" s="28">
        <v>2400</v>
      </c>
      <c r="F657" s="5"/>
      <c r="G657" s="17"/>
      <c r="K657" s="11"/>
    </row>
    <row r="658" spans="1:11" s="11" customFormat="1" ht="18.75" x14ac:dyDescent="0.25">
      <c r="A658" s="28">
        <f t="shared" si="17"/>
        <v>617</v>
      </c>
      <c r="B658" s="33" t="s">
        <v>984</v>
      </c>
      <c r="C658" s="29" t="s">
        <v>985</v>
      </c>
      <c r="D658" s="28" t="s">
        <v>356</v>
      </c>
      <c r="E658" s="28">
        <v>4680</v>
      </c>
      <c r="F658" s="5"/>
      <c r="G658" s="17"/>
      <c r="H658" s="4"/>
      <c r="I658" s="4"/>
      <c r="J658" s="4"/>
      <c r="K658" s="4"/>
    </row>
    <row r="659" spans="1:11" s="4" customFormat="1" ht="37.5" customHeight="1" x14ac:dyDescent="0.25">
      <c r="A659" s="28">
        <f t="shared" si="17"/>
        <v>618</v>
      </c>
      <c r="B659" s="33" t="s">
        <v>986</v>
      </c>
      <c r="C659" s="29" t="s">
        <v>987</v>
      </c>
      <c r="D659" s="28" t="s">
        <v>356</v>
      </c>
      <c r="E659" s="28">
        <v>4560</v>
      </c>
      <c r="F659" s="5"/>
      <c r="G659" s="17"/>
    </row>
    <row r="660" spans="1:11" s="4" customFormat="1" ht="18.75" x14ac:dyDescent="0.25">
      <c r="A660" s="28">
        <f t="shared" si="17"/>
        <v>619</v>
      </c>
      <c r="B660" s="33" t="s">
        <v>988</v>
      </c>
      <c r="C660" s="29" t="s">
        <v>989</v>
      </c>
      <c r="D660" s="28" t="s">
        <v>356</v>
      </c>
      <c r="E660" s="28">
        <v>4320</v>
      </c>
      <c r="F660" s="5"/>
      <c r="G660" s="17"/>
    </row>
    <row r="661" spans="1:11" s="4" customFormat="1" ht="18.75" x14ac:dyDescent="0.25">
      <c r="A661" s="28">
        <f t="shared" si="17"/>
        <v>620</v>
      </c>
      <c r="B661" s="33" t="s">
        <v>990</v>
      </c>
      <c r="C661" s="29" t="s">
        <v>991</v>
      </c>
      <c r="D661" s="28" t="s">
        <v>356</v>
      </c>
      <c r="E661" s="28">
        <v>8400</v>
      </c>
      <c r="F661" s="5"/>
      <c r="G661" s="17"/>
    </row>
    <row r="662" spans="1:11" s="4" customFormat="1" ht="18.75" x14ac:dyDescent="0.25">
      <c r="A662" s="28">
        <f t="shared" si="17"/>
        <v>621</v>
      </c>
      <c r="B662" s="33" t="s">
        <v>992</v>
      </c>
      <c r="C662" s="29" t="s">
        <v>993</v>
      </c>
      <c r="D662" s="28" t="s">
        <v>356</v>
      </c>
      <c r="E662" s="28">
        <v>8400</v>
      </c>
      <c r="F662" s="5"/>
      <c r="G662" s="17"/>
    </row>
    <row r="663" spans="1:11" s="4" customFormat="1" ht="18.75" x14ac:dyDescent="0.25">
      <c r="A663" s="28">
        <f t="shared" si="17"/>
        <v>622</v>
      </c>
      <c r="B663" s="33" t="s">
        <v>994</v>
      </c>
      <c r="C663" s="29" t="s">
        <v>995</v>
      </c>
      <c r="D663" s="28" t="s">
        <v>356</v>
      </c>
      <c r="E663" s="28">
        <v>6480</v>
      </c>
      <c r="F663" s="5"/>
      <c r="G663" s="17"/>
    </row>
    <row r="664" spans="1:11" s="4" customFormat="1" ht="18.75" x14ac:dyDescent="0.25">
      <c r="A664" s="28">
        <f t="shared" si="17"/>
        <v>623</v>
      </c>
      <c r="B664" s="33" t="s">
        <v>996</v>
      </c>
      <c r="C664" s="29" t="s">
        <v>997</v>
      </c>
      <c r="D664" s="28" t="s">
        <v>356</v>
      </c>
      <c r="E664" s="28">
        <v>3240</v>
      </c>
      <c r="F664" s="5"/>
      <c r="G664" s="17"/>
    </row>
    <row r="665" spans="1:11" s="4" customFormat="1" ht="18.75" x14ac:dyDescent="0.25">
      <c r="A665" s="28">
        <f t="shared" si="17"/>
        <v>624</v>
      </c>
      <c r="B665" s="33" t="s">
        <v>998</v>
      </c>
      <c r="C665" s="29" t="s">
        <v>999</v>
      </c>
      <c r="D665" s="28" t="s">
        <v>356</v>
      </c>
      <c r="E665" s="28">
        <v>4560</v>
      </c>
      <c r="F665" s="5"/>
      <c r="G665" s="17"/>
      <c r="H665" s="5"/>
      <c r="I665" s="5"/>
      <c r="J665" s="5"/>
    </row>
    <row r="666" spans="1:11" s="4" customFormat="1" ht="30" customHeight="1" x14ac:dyDescent="0.25">
      <c r="A666" s="28">
        <f t="shared" si="17"/>
        <v>625</v>
      </c>
      <c r="B666" s="33" t="s">
        <v>1000</v>
      </c>
      <c r="C666" s="29" t="s">
        <v>1001</v>
      </c>
      <c r="D666" s="28" t="s">
        <v>356</v>
      </c>
      <c r="E666" s="28">
        <v>5400</v>
      </c>
      <c r="F666" s="5"/>
      <c r="G666" s="17"/>
    </row>
    <row r="667" spans="1:11" s="4" customFormat="1" ht="30" customHeight="1" x14ac:dyDescent="0.25">
      <c r="A667" s="28">
        <f t="shared" si="17"/>
        <v>626</v>
      </c>
      <c r="B667" s="33" t="s">
        <v>1002</v>
      </c>
      <c r="C667" s="29" t="s">
        <v>1003</v>
      </c>
      <c r="D667" s="28" t="s">
        <v>356</v>
      </c>
      <c r="E667" s="28">
        <v>3960</v>
      </c>
      <c r="F667" s="5"/>
      <c r="G667" s="17"/>
    </row>
    <row r="668" spans="1:11" s="4" customFormat="1" ht="30" customHeight="1" x14ac:dyDescent="0.25">
      <c r="A668" s="28">
        <f t="shared" si="17"/>
        <v>627</v>
      </c>
      <c r="B668" s="33" t="s">
        <v>1004</v>
      </c>
      <c r="C668" s="29" t="s">
        <v>1005</v>
      </c>
      <c r="D668" s="28" t="s">
        <v>356</v>
      </c>
      <c r="E668" s="28">
        <v>3240</v>
      </c>
      <c r="F668" s="5"/>
      <c r="G668" s="17"/>
    </row>
    <row r="669" spans="1:11" s="4" customFormat="1" ht="30" customHeight="1" x14ac:dyDescent="0.25">
      <c r="A669" s="28">
        <f t="shared" si="17"/>
        <v>628</v>
      </c>
      <c r="B669" s="33" t="s">
        <v>1006</v>
      </c>
      <c r="C669" s="29" t="s">
        <v>1007</v>
      </c>
      <c r="D669" s="28" t="s">
        <v>356</v>
      </c>
      <c r="E669" s="28">
        <v>7800</v>
      </c>
      <c r="F669" s="5"/>
      <c r="G669" s="17"/>
    </row>
    <row r="670" spans="1:11" s="4" customFormat="1" ht="18.75" x14ac:dyDescent="0.25">
      <c r="A670" s="28">
        <f t="shared" si="17"/>
        <v>629</v>
      </c>
      <c r="B670" s="33" t="s">
        <v>1008</v>
      </c>
      <c r="C670" s="29" t="s">
        <v>1009</v>
      </c>
      <c r="D670" s="28" t="s">
        <v>356</v>
      </c>
      <c r="E670" s="28">
        <v>5160</v>
      </c>
      <c r="F670" s="5"/>
      <c r="G670" s="17"/>
    </row>
    <row r="671" spans="1:11" s="4" customFormat="1" ht="18.75" x14ac:dyDescent="0.25">
      <c r="A671" s="28">
        <f t="shared" si="17"/>
        <v>630</v>
      </c>
      <c r="B671" s="33" t="s">
        <v>1010</v>
      </c>
      <c r="C671" s="29" t="s">
        <v>1011</v>
      </c>
      <c r="D671" s="28" t="s">
        <v>356</v>
      </c>
      <c r="E671" s="28">
        <v>3240</v>
      </c>
      <c r="F671" s="5"/>
      <c r="G671" s="17"/>
    </row>
    <row r="672" spans="1:11" s="4" customFormat="1" ht="18.75" x14ac:dyDescent="0.25">
      <c r="A672" s="28">
        <f t="shared" si="17"/>
        <v>631</v>
      </c>
      <c r="B672" s="33" t="s">
        <v>1012</v>
      </c>
      <c r="C672" s="29" t="s">
        <v>1013</v>
      </c>
      <c r="D672" s="28" t="s">
        <v>356</v>
      </c>
      <c r="E672" s="28">
        <v>3240</v>
      </c>
      <c r="F672" s="5"/>
      <c r="G672" s="17"/>
    </row>
    <row r="673" spans="1:11" s="4" customFormat="1" ht="18.75" x14ac:dyDescent="0.25">
      <c r="A673" s="28">
        <f t="shared" si="17"/>
        <v>632</v>
      </c>
      <c r="B673" s="33" t="s">
        <v>1014</v>
      </c>
      <c r="C673" s="29" t="s">
        <v>1015</v>
      </c>
      <c r="D673" s="28" t="s">
        <v>356</v>
      </c>
      <c r="E673" s="28">
        <v>3600</v>
      </c>
      <c r="F673" s="5"/>
      <c r="G673" s="17"/>
    </row>
    <row r="674" spans="1:11" s="4" customFormat="1" ht="18.75" x14ac:dyDescent="0.25">
      <c r="A674" s="28">
        <f t="shared" si="17"/>
        <v>633</v>
      </c>
      <c r="B674" s="33" t="s">
        <v>1016</v>
      </c>
      <c r="C674" s="29" t="s">
        <v>1017</v>
      </c>
      <c r="D674" s="28" t="s">
        <v>356</v>
      </c>
      <c r="E674" s="28">
        <v>3240</v>
      </c>
      <c r="F674" s="5"/>
      <c r="G674" s="17"/>
      <c r="K674" s="5"/>
    </row>
    <row r="675" spans="1:11" s="5" customFormat="1" ht="35.25" customHeight="1" x14ac:dyDescent="0.25">
      <c r="A675" s="28">
        <f t="shared" si="17"/>
        <v>634</v>
      </c>
      <c r="B675" s="33" t="s">
        <v>1018</v>
      </c>
      <c r="C675" s="29" t="s">
        <v>1019</v>
      </c>
      <c r="D675" s="28" t="s">
        <v>356</v>
      </c>
      <c r="E675" s="28">
        <v>4680</v>
      </c>
      <c r="G675" s="17"/>
      <c r="H675" s="4"/>
      <c r="I675" s="4"/>
      <c r="J675" s="4"/>
      <c r="K675" s="4"/>
    </row>
    <row r="676" spans="1:11" s="4" customFormat="1" ht="18.75" x14ac:dyDescent="0.25">
      <c r="A676" s="28">
        <f t="shared" si="17"/>
        <v>635</v>
      </c>
      <c r="B676" s="33" t="s">
        <v>1020</v>
      </c>
      <c r="C676" s="29" t="s">
        <v>1021</v>
      </c>
      <c r="D676" s="28" t="s">
        <v>356</v>
      </c>
      <c r="E676" s="28">
        <v>2640</v>
      </c>
      <c r="F676" s="5"/>
      <c r="G676" s="17"/>
    </row>
    <row r="677" spans="1:11" s="4" customFormat="1" ht="18.75" x14ac:dyDescent="0.25">
      <c r="A677" s="28">
        <f t="shared" si="17"/>
        <v>636</v>
      </c>
      <c r="B677" s="29" t="s">
        <v>1022</v>
      </c>
      <c r="C677" s="47"/>
      <c r="D677" s="28" t="s">
        <v>356</v>
      </c>
      <c r="E677" s="28">
        <v>10320</v>
      </c>
      <c r="F677" s="5"/>
      <c r="G677" s="17"/>
    </row>
    <row r="678" spans="1:11" s="4" customFormat="1" ht="18.75" customHeight="1" x14ac:dyDescent="0.25">
      <c r="A678" s="144" t="s">
        <v>1023</v>
      </c>
      <c r="B678" s="145"/>
      <c r="C678" s="145"/>
      <c r="D678" s="145"/>
      <c r="E678" s="146"/>
      <c r="F678" s="5"/>
      <c r="G678" s="17"/>
    </row>
    <row r="679" spans="1:11" s="4" customFormat="1" ht="18.75" x14ac:dyDescent="0.25">
      <c r="A679" s="28">
        <f>A677+1</f>
        <v>637</v>
      </c>
      <c r="B679" s="29" t="s">
        <v>1024</v>
      </c>
      <c r="C679" s="47"/>
      <c r="D679" s="29" t="s">
        <v>1025</v>
      </c>
      <c r="E679" s="28">
        <v>102360</v>
      </c>
      <c r="F679" s="5"/>
      <c r="G679" s="17"/>
    </row>
    <row r="680" spans="1:11" s="4" customFormat="1" ht="18.75" x14ac:dyDescent="0.25">
      <c r="A680" s="28">
        <f>A679+1</f>
        <v>638</v>
      </c>
      <c r="B680" s="29" t="s">
        <v>1026</v>
      </c>
      <c r="C680" s="47"/>
      <c r="D680" s="29" t="s">
        <v>1025</v>
      </c>
      <c r="E680" s="28">
        <v>99960</v>
      </c>
      <c r="F680" s="5"/>
      <c r="G680" s="17"/>
    </row>
    <row r="681" spans="1:11" s="4" customFormat="1" ht="29.25" customHeight="1" x14ac:dyDescent="0.25">
      <c r="A681" s="28">
        <f t="shared" ref="A681:A698" si="18">A680+1</f>
        <v>639</v>
      </c>
      <c r="B681" s="29" t="s">
        <v>1027</v>
      </c>
      <c r="C681" s="47"/>
      <c r="D681" s="29" t="s">
        <v>1025</v>
      </c>
      <c r="E681" s="28">
        <v>133560</v>
      </c>
      <c r="F681" s="5"/>
      <c r="G681" s="17"/>
    </row>
    <row r="682" spans="1:11" s="4" customFormat="1" ht="29.25" customHeight="1" x14ac:dyDescent="0.25">
      <c r="A682" s="28">
        <f t="shared" si="18"/>
        <v>640</v>
      </c>
      <c r="B682" s="29" t="s">
        <v>1028</v>
      </c>
      <c r="C682" s="47"/>
      <c r="D682" s="29" t="s">
        <v>1025</v>
      </c>
      <c r="E682" s="28">
        <v>133560</v>
      </c>
      <c r="F682" s="5"/>
      <c r="G682" s="17"/>
    </row>
    <row r="683" spans="1:11" s="4" customFormat="1" ht="25.5" customHeight="1" x14ac:dyDescent="0.25">
      <c r="A683" s="28">
        <f t="shared" si="18"/>
        <v>641</v>
      </c>
      <c r="B683" s="29" t="s">
        <v>1029</v>
      </c>
      <c r="C683" s="47"/>
      <c r="D683" s="29" t="s">
        <v>1025</v>
      </c>
      <c r="E683" s="28">
        <v>120240</v>
      </c>
      <c r="F683" s="5"/>
      <c r="G683" s="17"/>
    </row>
    <row r="684" spans="1:11" s="4" customFormat="1" ht="25.5" customHeight="1" x14ac:dyDescent="0.25">
      <c r="A684" s="28">
        <f t="shared" si="18"/>
        <v>642</v>
      </c>
      <c r="B684" s="29" t="s">
        <v>1030</v>
      </c>
      <c r="C684" s="47"/>
      <c r="D684" s="29" t="s">
        <v>1025</v>
      </c>
      <c r="E684" s="28">
        <v>130680</v>
      </c>
      <c r="F684" s="5"/>
      <c r="G684" s="17"/>
    </row>
    <row r="685" spans="1:11" s="4" customFormat="1" ht="25.5" customHeight="1" x14ac:dyDescent="0.25">
      <c r="A685" s="28">
        <f t="shared" si="18"/>
        <v>643</v>
      </c>
      <c r="B685" s="29" t="s">
        <v>1031</v>
      </c>
      <c r="C685" s="47"/>
      <c r="D685" s="29" t="s">
        <v>1025</v>
      </c>
      <c r="E685" s="28">
        <v>77640</v>
      </c>
      <c r="F685" s="5"/>
      <c r="G685" s="17"/>
    </row>
    <row r="686" spans="1:11" s="4" customFormat="1" ht="25.5" customHeight="1" x14ac:dyDescent="0.25">
      <c r="A686" s="28">
        <f t="shared" si="18"/>
        <v>644</v>
      </c>
      <c r="B686" s="29" t="s">
        <v>1032</v>
      </c>
      <c r="C686" s="47"/>
      <c r="D686" s="29" t="s">
        <v>1025</v>
      </c>
      <c r="E686" s="28">
        <v>110400</v>
      </c>
      <c r="F686" s="5"/>
      <c r="G686" s="17"/>
    </row>
    <row r="687" spans="1:11" s="4" customFormat="1" ht="24" customHeight="1" x14ac:dyDescent="0.25">
      <c r="A687" s="28">
        <f t="shared" si="18"/>
        <v>645</v>
      </c>
      <c r="B687" s="29" t="s">
        <v>1033</v>
      </c>
      <c r="C687" s="47"/>
      <c r="D687" s="29" t="s">
        <v>1025</v>
      </c>
      <c r="E687" s="28">
        <v>110400</v>
      </c>
      <c r="F687" s="5"/>
      <c r="G687" s="17"/>
    </row>
    <row r="688" spans="1:11" s="4" customFormat="1" ht="18.75" x14ac:dyDescent="0.25">
      <c r="A688" s="28">
        <f t="shared" si="18"/>
        <v>646</v>
      </c>
      <c r="B688" s="29" t="s">
        <v>1034</v>
      </c>
      <c r="C688" s="47"/>
      <c r="D688" s="29" t="s">
        <v>1025</v>
      </c>
      <c r="E688" s="28">
        <v>101160</v>
      </c>
      <c r="F688" s="5"/>
      <c r="G688" s="17"/>
    </row>
    <row r="689" spans="1:7" s="4" customFormat="1" ht="18.75" x14ac:dyDescent="0.25">
      <c r="A689" s="28">
        <f t="shared" si="18"/>
        <v>647</v>
      </c>
      <c r="B689" s="29" t="s">
        <v>1035</v>
      </c>
      <c r="C689" s="47"/>
      <c r="D689" s="29" t="s">
        <v>1025</v>
      </c>
      <c r="E689" s="28">
        <v>73560</v>
      </c>
      <c r="F689" s="5"/>
      <c r="G689" s="17"/>
    </row>
    <row r="690" spans="1:7" s="4" customFormat="1" ht="18.75" x14ac:dyDescent="0.25">
      <c r="A690" s="28">
        <f t="shared" si="18"/>
        <v>648</v>
      </c>
      <c r="B690" s="29" t="s">
        <v>1036</v>
      </c>
      <c r="C690" s="47"/>
      <c r="D690" s="29" t="s">
        <v>1025</v>
      </c>
      <c r="E690" s="28">
        <v>81000</v>
      </c>
      <c r="F690" s="5"/>
      <c r="G690" s="17"/>
    </row>
    <row r="691" spans="1:7" s="4" customFormat="1" ht="18.75" x14ac:dyDescent="0.25">
      <c r="A691" s="28">
        <f t="shared" si="18"/>
        <v>649</v>
      </c>
      <c r="B691" s="29" t="s">
        <v>1037</v>
      </c>
      <c r="C691" s="47"/>
      <c r="D691" s="29" t="s">
        <v>1025</v>
      </c>
      <c r="E691" s="28">
        <v>113880</v>
      </c>
      <c r="F691" s="5"/>
      <c r="G691" s="17"/>
    </row>
    <row r="692" spans="1:7" s="4" customFormat="1" ht="18.75" x14ac:dyDescent="0.25">
      <c r="A692" s="28">
        <f t="shared" si="18"/>
        <v>650</v>
      </c>
      <c r="B692" s="29" t="s">
        <v>1038</v>
      </c>
      <c r="C692" s="47"/>
      <c r="D692" s="29" t="s">
        <v>1025</v>
      </c>
      <c r="E692" s="28">
        <v>109320</v>
      </c>
      <c r="F692" s="5"/>
      <c r="G692" s="17"/>
    </row>
    <row r="693" spans="1:7" s="4" customFormat="1" ht="18.75" x14ac:dyDescent="0.25">
      <c r="A693" s="28">
        <f t="shared" si="18"/>
        <v>651</v>
      </c>
      <c r="B693" s="29" t="s">
        <v>1039</v>
      </c>
      <c r="C693" s="47"/>
      <c r="D693" s="29" t="s">
        <v>1025</v>
      </c>
      <c r="E693" s="28">
        <v>91920</v>
      </c>
      <c r="F693" s="5"/>
      <c r="G693" s="17"/>
    </row>
    <row r="694" spans="1:7" s="4" customFormat="1" ht="18.75" x14ac:dyDescent="0.25">
      <c r="A694" s="28">
        <f t="shared" si="18"/>
        <v>652</v>
      </c>
      <c r="B694" s="29" t="s">
        <v>1040</v>
      </c>
      <c r="C694" s="47"/>
      <c r="D694" s="29" t="s">
        <v>1025</v>
      </c>
      <c r="E694" s="28">
        <v>91440</v>
      </c>
      <c r="F694" s="5"/>
      <c r="G694" s="17"/>
    </row>
    <row r="695" spans="1:7" s="4" customFormat="1" ht="18.75" x14ac:dyDescent="0.25">
      <c r="A695" s="28">
        <f t="shared" si="18"/>
        <v>653</v>
      </c>
      <c r="B695" s="29" t="s">
        <v>1041</v>
      </c>
      <c r="C695" s="47"/>
      <c r="D695" s="29" t="s">
        <v>1025</v>
      </c>
      <c r="E695" s="28">
        <v>108720</v>
      </c>
      <c r="F695" s="5"/>
      <c r="G695" s="17"/>
    </row>
    <row r="696" spans="1:7" s="4" customFormat="1" ht="18.75" x14ac:dyDescent="0.25">
      <c r="A696" s="28">
        <f t="shared" si="18"/>
        <v>654</v>
      </c>
      <c r="B696" s="29" t="s">
        <v>1042</v>
      </c>
      <c r="C696" s="47"/>
      <c r="D696" s="29" t="s">
        <v>1025</v>
      </c>
      <c r="E696" s="28">
        <v>123720</v>
      </c>
      <c r="F696" s="5"/>
      <c r="G696" s="17"/>
    </row>
    <row r="697" spans="1:7" s="4" customFormat="1" ht="18.75" x14ac:dyDescent="0.25">
      <c r="A697" s="28">
        <f t="shared" si="18"/>
        <v>655</v>
      </c>
      <c r="B697" s="29" t="s">
        <v>1043</v>
      </c>
      <c r="C697" s="47"/>
      <c r="D697" s="29" t="s">
        <v>1025</v>
      </c>
      <c r="E697" s="28">
        <v>144480</v>
      </c>
      <c r="F697" s="5"/>
      <c r="G697" s="17"/>
    </row>
    <row r="698" spans="1:7" s="4" customFormat="1" ht="18.75" x14ac:dyDescent="0.25">
      <c r="A698" s="28">
        <f t="shared" si="18"/>
        <v>656</v>
      </c>
      <c r="B698" s="29" t="s">
        <v>1044</v>
      </c>
      <c r="C698" s="47"/>
      <c r="D698" s="29" t="s">
        <v>1025</v>
      </c>
      <c r="E698" s="28">
        <v>142200</v>
      </c>
      <c r="F698" s="5"/>
      <c r="G698" s="17"/>
    </row>
    <row r="699" spans="1:7" s="4" customFormat="1" ht="18.75" customHeight="1" x14ac:dyDescent="0.25">
      <c r="A699" s="144" t="s">
        <v>1045</v>
      </c>
      <c r="B699" s="145"/>
      <c r="C699" s="145"/>
      <c r="D699" s="145"/>
      <c r="E699" s="146"/>
      <c r="F699" s="5"/>
      <c r="G699" s="17"/>
    </row>
    <row r="700" spans="1:7" s="4" customFormat="1" ht="41.25" customHeight="1" x14ac:dyDescent="0.25">
      <c r="A700" s="28">
        <f>A698+1</f>
        <v>657</v>
      </c>
      <c r="B700" s="29" t="s">
        <v>1046</v>
      </c>
      <c r="C700" s="47" t="s">
        <v>921</v>
      </c>
      <c r="D700" s="29" t="s">
        <v>1047</v>
      </c>
      <c r="E700" s="28">
        <v>34200</v>
      </c>
      <c r="F700" s="5"/>
      <c r="G700" s="17"/>
    </row>
    <row r="701" spans="1:7" s="4" customFormat="1" ht="41.25" customHeight="1" x14ac:dyDescent="0.25">
      <c r="A701" s="28">
        <f>A700+1</f>
        <v>658</v>
      </c>
      <c r="B701" s="29" t="s">
        <v>1048</v>
      </c>
      <c r="C701" s="47" t="s">
        <v>921</v>
      </c>
      <c r="D701" s="29" t="s">
        <v>1047</v>
      </c>
      <c r="E701" s="28">
        <v>99240</v>
      </c>
      <c r="F701" s="5"/>
      <c r="G701" s="17"/>
    </row>
    <row r="702" spans="1:7" s="4" customFormat="1" ht="36" customHeight="1" x14ac:dyDescent="0.25">
      <c r="A702" s="28">
        <f>A701+1</f>
        <v>659</v>
      </c>
      <c r="B702" s="29" t="s">
        <v>1049</v>
      </c>
      <c r="C702" s="47" t="s">
        <v>921</v>
      </c>
      <c r="D702" s="29" t="s">
        <v>1047</v>
      </c>
      <c r="E702" s="28">
        <v>51360</v>
      </c>
      <c r="F702" s="5"/>
      <c r="G702" s="17"/>
    </row>
    <row r="703" spans="1:7" s="4" customFormat="1" ht="36" customHeight="1" x14ac:dyDescent="0.25">
      <c r="A703" s="28">
        <f>A702+1</f>
        <v>660</v>
      </c>
      <c r="B703" s="29" t="s">
        <v>1050</v>
      </c>
      <c r="C703" s="47" t="s">
        <v>921</v>
      </c>
      <c r="D703" s="29" t="s">
        <v>1047</v>
      </c>
      <c r="E703" s="28">
        <v>145680</v>
      </c>
      <c r="F703" s="5"/>
      <c r="G703" s="17"/>
    </row>
    <row r="704" spans="1:7" s="4" customFormat="1" ht="45" customHeight="1" x14ac:dyDescent="0.25">
      <c r="A704" s="28">
        <f>A703+1</f>
        <v>661</v>
      </c>
      <c r="B704" s="29" t="s">
        <v>3084</v>
      </c>
      <c r="C704" s="28" t="s">
        <v>919</v>
      </c>
      <c r="D704" s="40" t="s">
        <v>352</v>
      </c>
      <c r="E704" s="28">
        <v>29280</v>
      </c>
      <c r="F704" s="5"/>
      <c r="G704" s="17"/>
    </row>
    <row r="705" spans="1:7" s="4" customFormat="1" ht="45" customHeight="1" x14ac:dyDescent="0.25">
      <c r="A705" s="28">
        <f>A704+1</f>
        <v>662</v>
      </c>
      <c r="B705" s="38" t="s">
        <v>3085</v>
      </c>
      <c r="C705" s="39" t="s">
        <v>919</v>
      </c>
      <c r="D705" s="40" t="s">
        <v>352</v>
      </c>
      <c r="E705" s="28">
        <v>43920</v>
      </c>
      <c r="F705" s="5"/>
      <c r="G705" s="17"/>
    </row>
    <row r="706" spans="1:7" s="4" customFormat="1" ht="23.25" customHeight="1" x14ac:dyDescent="0.25">
      <c r="A706" s="144" t="s">
        <v>1051</v>
      </c>
      <c r="B706" s="145"/>
      <c r="C706" s="145"/>
      <c r="D706" s="145"/>
      <c r="E706" s="146"/>
      <c r="F706" s="5"/>
      <c r="G706" s="17"/>
    </row>
    <row r="707" spans="1:7" s="4" customFormat="1" ht="48" customHeight="1" x14ac:dyDescent="0.25">
      <c r="A707" s="28">
        <f>A705+1</f>
        <v>663</v>
      </c>
      <c r="B707" s="38" t="s">
        <v>3086</v>
      </c>
      <c r="C707" s="39" t="s">
        <v>1052</v>
      </c>
      <c r="D707" s="40" t="s">
        <v>352</v>
      </c>
      <c r="E707" s="28">
        <v>30840</v>
      </c>
      <c r="F707" s="5"/>
      <c r="G707" s="17"/>
    </row>
    <row r="708" spans="1:7" s="4" customFormat="1" ht="48" customHeight="1" x14ac:dyDescent="0.25">
      <c r="A708" s="28">
        <f>A707+1</f>
        <v>664</v>
      </c>
      <c r="B708" s="38" t="s">
        <v>3087</v>
      </c>
      <c r="C708" s="39" t="s">
        <v>1052</v>
      </c>
      <c r="D708" s="40" t="s">
        <v>352</v>
      </c>
      <c r="E708" s="28">
        <v>46320</v>
      </c>
      <c r="F708" s="5"/>
      <c r="G708" s="17"/>
    </row>
    <row r="709" spans="1:7" s="4" customFormat="1" ht="19.5" customHeight="1" x14ac:dyDescent="0.25">
      <c r="A709" s="139" t="s">
        <v>1053</v>
      </c>
      <c r="B709" s="140"/>
      <c r="C709" s="140"/>
      <c r="D709" s="140"/>
      <c r="E709" s="141"/>
      <c r="F709" s="5"/>
      <c r="G709" s="17"/>
    </row>
    <row r="710" spans="1:7" s="4" customFormat="1" ht="18.75" x14ac:dyDescent="0.25">
      <c r="A710" s="28">
        <f>A708+1</f>
        <v>665</v>
      </c>
      <c r="B710" s="33" t="s">
        <v>1054</v>
      </c>
      <c r="C710" s="29" t="s">
        <v>1055</v>
      </c>
      <c r="D710" s="28" t="s">
        <v>490</v>
      </c>
      <c r="E710" s="28">
        <v>22560</v>
      </c>
      <c r="F710" s="5"/>
      <c r="G710" s="17"/>
    </row>
    <row r="711" spans="1:7" s="4" customFormat="1" ht="24" customHeight="1" x14ac:dyDescent="0.25">
      <c r="A711" s="28">
        <f>A710+1</f>
        <v>666</v>
      </c>
      <c r="B711" s="33" t="s">
        <v>1056</v>
      </c>
      <c r="C711" s="29" t="s">
        <v>1057</v>
      </c>
      <c r="D711" s="28" t="s">
        <v>490</v>
      </c>
      <c r="E711" s="28">
        <v>1320</v>
      </c>
      <c r="F711" s="5"/>
      <c r="G711" s="17"/>
    </row>
    <row r="712" spans="1:7" s="4" customFormat="1" ht="24" customHeight="1" x14ac:dyDescent="0.25">
      <c r="A712" s="28">
        <f>A711+1</f>
        <v>667</v>
      </c>
      <c r="B712" s="33" t="s">
        <v>1058</v>
      </c>
      <c r="C712" s="29" t="s">
        <v>1059</v>
      </c>
      <c r="D712" s="28" t="s">
        <v>490</v>
      </c>
      <c r="E712" s="28">
        <v>1320</v>
      </c>
      <c r="F712" s="5"/>
      <c r="G712" s="17"/>
    </row>
    <row r="713" spans="1:7" s="4" customFormat="1" ht="18.75" x14ac:dyDescent="0.25">
      <c r="A713" s="28">
        <f>A712+1</f>
        <v>668</v>
      </c>
      <c r="B713" s="42" t="s">
        <v>1060</v>
      </c>
      <c r="C713" s="29" t="s">
        <v>1061</v>
      </c>
      <c r="D713" s="43" t="s">
        <v>490</v>
      </c>
      <c r="E713" s="28">
        <v>38520</v>
      </c>
      <c r="F713" s="5"/>
      <c r="G713" s="17"/>
    </row>
    <row r="714" spans="1:7" s="4" customFormat="1" ht="18.75" x14ac:dyDescent="0.25">
      <c r="A714" s="28">
        <f>A713+1</f>
        <v>669</v>
      </c>
      <c r="B714" s="33" t="s">
        <v>1062</v>
      </c>
      <c r="C714" s="29" t="s">
        <v>1063</v>
      </c>
      <c r="D714" s="28" t="s">
        <v>490</v>
      </c>
      <c r="E714" s="28">
        <v>23160</v>
      </c>
      <c r="F714" s="5"/>
      <c r="G714" s="17"/>
    </row>
    <row r="715" spans="1:7" s="4" customFormat="1" ht="18.75" x14ac:dyDescent="0.25">
      <c r="A715" s="28">
        <f t="shared" ref="A715:A778" si="19">A714+1</f>
        <v>670</v>
      </c>
      <c r="B715" s="33" t="s">
        <v>1064</v>
      </c>
      <c r="C715" s="29" t="s">
        <v>1065</v>
      </c>
      <c r="D715" s="28" t="s">
        <v>490</v>
      </c>
      <c r="E715" s="28">
        <v>27000</v>
      </c>
      <c r="F715" s="5"/>
      <c r="G715" s="17"/>
    </row>
    <row r="716" spans="1:7" s="4" customFormat="1" ht="18.75" x14ac:dyDescent="0.25">
      <c r="A716" s="28">
        <f t="shared" si="19"/>
        <v>671</v>
      </c>
      <c r="B716" s="33" t="s">
        <v>1066</v>
      </c>
      <c r="C716" s="29" t="s">
        <v>1067</v>
      </c>
      <c r="D716" s="28" t="s">
        <v>490</v>
      </c>
      <c r="E716" s="28">
        <v>27000</v>
      </c>
      <c r="F716" s="5"/>
      <c r="G716" s="17"/>
    </row>
    <row r="717" spans="1:7" s="4" customFormat="1" ht="38.25" customHeight="1" x14ac:dyDescent="0.25">
      <c r="A717" s="28">
        <f t="shared" si="19"/>
        <v>672</v>
      </c>
      <c r="B717" s="33" t="s">
        <v>1068</v>
      </c>
      <c r="C717" s="29" t="s">
        <v>1069</v>
      </c>
      <c r="D717" s="28" t="s">
        <v>490</v>
      </c>
      <c r="E717" s="28">
        <v>61680</v>
      </c>
      <c r="F717" s="5"/>
      <c r="G717" s="17"/>
    </row>
    <row r="718" spans="1:7" s="4" customFormat="1" ht="18.75" x14ac:dyDescent="0.25">
      <c r="A718" s="28">
        <f t="shared" si="19"/>
        <v>673</v>
      </c>
      <c r="B718" s="33" t="s">
        <v>1070</v>
      </c>
      <c r="C718" s="29" t="s">
        <v>1071</v>
      </c>
      <c r="D718" s="28" t="s">
        <v>490</v>
      </c>
      <c r="E718" s="28">
        <v>32160</v>
      </c>
      <c r="F718" s="5"/>
      <c r="G718" s="17"/>
    </row>
    <row r="719" spans="1:7" s="4" customFormat="1" ht="33.75" customHeight="1" x14ac:dyDescent="0.25">
      <c r="A719" s="28">
        <f t="shared" si="19"/>
        <v>674</v>
      </c>
      <c r="B719" s="33" t="s">
        <v>1072</v>
      </c>
      <c r="C719" s="29" t="s">
        <v>1073</v>
      </c>
      <c r="D719" s="28" t="s">
        <v>490</v>
      </c>
      <c r="E719" s="28">
        <v>27000</v>
      </c>
      <c r="F719" s="5"/>
      <c r="G719" s="17"/>
    </row>
    <row r="720" spans="1:7" s="4" customFormat="1" ht="33.75" customHeight="1" x14ac:dyDescent="0.25">
      <c r="A720" s="28">
        <f t="shared" si="19"/>
        <v>675</v>
      </c>
      <c r="B720" s="33" t="s">
        <v>1074</v>
      </c>
      <c r="C720" s="29" t="s">
        <v>1075</v>
      </c>
      <c r="D720" s="28" t="s">
        <v>490</v>
      </c>
      <c r="E720" s="28">
        <v>61680</v>
      </c>
      <c r="F720" s="5"/>
      <c r="G720" s="17"/>
    </row>
    <row r="721" spans="1:7" s="4" customFormat="1" ht="27.75" customHeight="1" x14ac:dyDescent="0.25">
      <c r="A721" s="28">
        <f t="shared" si="19"/>
        <v>676</v>
      </c>
      <c r="B721" s="33" t="s">
        <v>1076</v>
      </c>
      <c r="C721" s="29" t="s">
        <v>1075</v>
      </c>
      <c r="D721" s="28" t="s">
        <v>490</v>
      </c>
      <c r="E721" s="28">
        <v>77040</v>
      </c>
      <c r="F721" s="5"/>
      <c r="G721" s="17"/>
    </row>
    <row r="722" spans="1:7" s="4" customFormat="1" ht="45.75" customHeight="1" x14ac:dyDescent="0.25">
      <c r="A722" s="28">
        <f t="shared" si="19"/>
        <v>677</v>
      </c>
      <c r="B722" s="33" t="s">
        <v>1077</v>
      </c>
      <c r="C722" s="29"/>
      <c r="D722" s="28" t="s">
        <v>490</v>
      </c>
      <c r="E722" s="28">
        <v>89880</v>
      </c>
      <c r="F722" s="5"/>
      <c r="G722" s="17"/>
    </row>
    <row r="723" spans="1:7" s="4" customFormat="1" ht="31.5" customHeight="1" x14ac:dyDescent="0.25">
      <c r="A723" s="28">
        <f t="shared" si="19"/>
        <v>678</v>
      </c>
      <c r="B723" s="33" t="s">
        <v>1078</v>
      </c>
      <c r="C723" s="29" t="s">
        <v>1079</v>
      </c>
      <c r="D723" s="28" t="s">
        <v>490</v>
      </c>
      <c r="E723" s="28">
        <v>27000</v>
      </c>
      <c r="F723" s="5"/>
      <c r="G723" s="17"/>
    </row>
    <row r="724" spans="1:7" s="4" customFormat="1" ht="18.75" x14ac:dyDescent="0.25">
      <c r="A724" s="28">
        <f t="shared" si="19"/>
        <v>679</v>
      </c>
      <c r="B724" s="33" t="s">
        <v>1080</v>
      </c>
      <c r="C724" s="29" t="s">
        <v>1081</v>
      </c>
      <c r="D724" s="28" t="s">
        <v>490</v>
      </c>
      <c r="E724" s="28">
        <v>27000</v>
      </c>
      <c r="F724" s="5"/>
      <c r="G724" s="17"/>
    </row>
    <row r="725" spans="1:7" s="4" customFormat="1" ht="33" customHeight="1" x14ac:dyDescent="0.25">
      <c r="A725" s="28">
        <f t="shared" si="19"/>
        <v>680</v>
      </c>
      <c r="B725" s="33" t="s">
        <v>1082</v>
      </c>
      <c r="C725" s="29" t="s">
        <v>1079</v>
      </c>
      <c r="D725" s="28" t="s">
        <v>490</v>
      </c>
      <c r="E725" s="28">
        <v>32160</v>
      </c>
      <c r="F725" s="5"/>
      <c r="G725" s="17"/>
    </row>
    <row r="726" spans="1:7" s="4" customFormat="1" ht="32.25" customHeight="1" x14ac:dyDescent="0.25">
      <c r="A726" s="28">
        <f t="shared" si="19"/>
        <v>681</v>
      </c>
      <c r="B726" s="33" t="s">
        <v>1083</v>
      </c>
      <c r="C726" s="29" t="s">
        <v>1084</v>
      </c>
      <c r="D726" s="28" t="s">
        <v>490</v>
      </c>
      <c r="E726" s="28">
        <v>27000</v>
      </c>
      <c r="F726" s="5"/>
      <c r="G726" s="17"/>
    </row>
    <row r="727" spans="1:7" s="4" customFormat="1" ht="45" customHeight="1" x14ac:dyDescent="0.25">
      <c r="A727" s="28">
        <f t="shared" si="19"/>
        <v>682</v>
      </c>
      <c r="B727" s="33" t="s">
        <v>1085</v>
      </c>
      <c r="C727" s="29" t="s">
        <v>1084</v>
      </c>
      <c r="D727" s="28" t="s">
        <v>490</v>
      </c>
      <c r="E727" s="28">
        <v>34680</v>
      </c>
      <c r="F727" s="5"/>
      <c r="G727" s="17"/>
    </row>
    <row r="728" spans="1:7" s="4" customFormat="1" ht="18.75" x14ac:dyDescent="0.25">
      <c r="A728" s="28">
        <f t="shared" si="19"/>
        <v>683</v>
      </c>
      <c r="B728" s="33" t="s">
        <v>1086</v>
      </c>
      <c r="C728" s="29" t="s">
        <v>1087</v>
      </c>
      <c r="D728" s="28" t="s">
        <v>490</v>
      </c>
      <c r="E728" s="28">
        <v>32160</v>
      </c>
      <c r="F728" s="5"/>
      <c r="G728" s="17"/>
    </row>
    <row r="729" spans="1:7" s="4" customFormat="1" ht="18.75" x14ac:dyDescent="0.25">
      <c r="A729" s="28">
        <f t="shared" si="19"/>
        <v>684</v>
      </c>
      <c r="B729" s="33" t="s">
        <v>1088</v>
      </c>
      <c r="C729" s="29" t="s">
        <v>1089</v>
      </c>
      <c r="D729" s="28" t="s">
        <v>490</v>
      </c>
      <c r="E729" s="28">
        <v>32160</v>
      </c>
      <c r="F729" s="5"/>
      <c r="G729" s="17"/>
    </row>
    <row r="730" spans="1:7" s="4" customFormat="1" ht="18.75" x14ac:dyDescent="0.25">
      <c r="A730" s="28">
        <f t="shared" si="19"/>
        <v>685</v>
      </c>
      <c r="B730" s="33" t="s">
        <v>1090</v>
      </c>
      <c r="C730" s="29" t="s">
        <v>1091</v>
      </c>
      <c r="D730" s="28" t="s">
        <v>490</v>
      </c>
      <c r="E730" s="28">
        <v>27000</v>
      </c>
      <c r="F730" s="5"/>
      <c r="G730" s="17"/>
    </row>
    <row r="731" spans="1:7" s="4" customFormat="1" ht="18.75" x14ac:dyDescent="0.25">
      <c r="A731" s="28">
        <f t="shared" si="19"/>
        <v>686</v>
      </c>
      <c r="B731" s="33" t="s">
        <v>1092</v>
      </c>
      <c r="C731" s="29" t="s">
        <v>1093</v>
      </c>
      <c r="D731" s="28" t="s">
        <v>490</v>
      </c>
      <c r="E731" s="28">
        <v>27000</v>
      </c>
      <c r="F731" s="5"/>
      <c r="G731" s="17"/>
    </row>
    <row r="732" spans="1:7" s="4" customFormat="1" ht="18.75" x14ac:dyDescent="0.25">
      <c r="A732" s="28">
        <f t="shared" si="19"/>
        <v>687</v>
      </c>
      <c r="B732" s="33" t="s">
        <v>1094</v>
      </c>
      <c r="C732" s="29" t="s">
        <v>1095</v>
      </c>
      <c r="D732" s="28" t="s">
        <v>490</v>
      </c>
      <c r="E732" s="28">
        <v>27000</v>
      </c>
      <c r="F732" s="5"/>
      <c r="G732" s="17"/>
    </row>
    <row r="733" spans="1:7" s="4" customFormat="1" ht="32.25" customHeight="1" x14ac:dyDescent="0.25">
      <c r="A733" s="28">
        <f t="shared" si="19"/>
        <v>688</v>
      </c>
      <c r="B733" s="33" t="s">
        <v>1096</v>
      </c>
      <c r="C733" s="29" t="s">
        <v>1097</v>
      </c>
      <c r="D733" s="28" t="s">
        <v>490</v>
      </c>
      <c r="E733" s="28">
        <v>37320</v>
      </c>
      <c r="F733" s="5"/>
      <c r="G733" s="17"/>
    </row>
    <row r="734" spans="1:7" s="4" customFormat="1" ht="32.25" customHeight="1" x14ac:dyDescent="0.25">
      <c r="A734" s="28">
        <f t="shared" si="19"/>
        <v>689</v>
      </c>
      <c r="B734" s="33" t="s">
        <v>1098</v>
      </c>
      <c r="C734" s="29" t="s">
        <v>1099</v>
      </c>
      <c r="D734" s="28" t="s">
        <v>490</v>
      </c>
      <c r="E734" s="28">
        <v>59760</v>
      </c>
      <c r="F734" s="5"/>
      <c r="G734" s="17"/>
    </row>
    <row r="735" spans="1:7" s="4" customFormat="1" ht="25.5" customHeight="1" x14ac:dyDescent="0.25">
      <c r="A735" s="28">
        <f t="shared" si="19"/>
        <v>690</v>
      </c>
      <c r="B735" s="33" t="s">
        <v>1100</v>
      </c>
      <c r="C735" s="29" t="s">
        <v>1101</v>
      </c>
      <c r="D735" s="28" t="s">
        <v>490</v>
      </c>
      <c r="E735" s="28">
        <v>59760</v>
      </c>
      <c r="F735" s="5"/>
      <c r="G735" s="17"/>
    </row>
    <row r="736" spans="1:7" s="4" customFormat="1" ht="25.5" x14ac:dyDescent="0.25">
      <c r="A736" s="28">
        <f t="shared" si="19"/>
        <v>691</v>
      </c>
      <c r="B736" s="33" t="s">
        <v>1102</v>
      </c>
      <c r="C736" s="29" t="s">
        <v>1103</v>
      </c>
      <c r="D736" s="28" t="s">
        <v>490</v>
      </c>
      <c r="E736" s="28">
        <v>59760</v>
      </c>
      <c r="F736" s="5"/>
      <c r="G736" s="17"/>
    </row>
    <row r="737" spans="1:7" s="4" customFormat="1" ht="36.75" customHeight="1" x14ac:dyDescent="0.25">
      <c r="A737" s="28">
        <f t="shared" si="19"/>
        <v>692</v>
      </c>
      <c r="B737" s="33" t="s">
        <v>1104</v>
      </c>
      <c r="C737" s="29" t="s">
        <v>1105</v>
      </c>
      <c r="D737" s="28" t="s">
        <v>490</v>
      </c>
      <c r="E737" s="28">
        <v>59760</v>
      </c>
      <c r="F737" s="5"/>
      <c r="G737" s="17"/>
    </row>
    <row r="738" spans="1:7" s="4" customFormat="1" ht="25.5" x14ac:dyDescent="0.25">
      <c r="A738" s="28">
        <f t="shared" si="19"/>
        <v>693</v>
      </c>
      <c r="B738" s="33" t="s">
        <v>1106</v>
      </c>
      <c r="C738" s="29" t="s">
        <v>1107</v>
      </c>
      <c r="D738" s="28" t="s">
        <v>490</v>
      </c>
      <c r="E738" s="28">
        <v>59760</v>
      </c>
      <c r="F738" s="5"/>
      <c r="G738" s="17"/>
    </row>
    <row r="739" spans="1:7" s="4" customFormat="1" ht="31.5" customHeight="1" x14ac:dyDescent="0.25">
      <c r="A739" s="28">
        <f t="shared" si="19"/>
        <v>694</v>
      </c>
      <c r="B739" s="33" t="s">
        <v>1108</v>
      </c>
      <c r="C739" s="29"/>
      <c r="D739" s="28" t="s">
        <v>490</v>
      </c>
      <c r="E739" s="28">
        <v>70680</v>
      </c>
      <c r="F739" s="5"/>
      <c r="G739" s="17"/>
    </row>
    <row r="740" spans="1:7" s="4" customFormat="1" ht="25.5" x14ac:dyDescent="0.25">
      <c r="A740" s="28">
        <f t="shared" si="19"/>
        <v>695</v>
      </c>
      <c r="B740" s="33" t="s">
        <v>1109</v>
      </c>
      <c r="C740" s="29"/>
      <c r="D740" s="28" t="s">
        <v>490</v>
      </c>
      <c r="E740" s="28">
        <v>79680</v>
      </c>
      <c r="F740" s="5"/>
      <c r="G740" s="17"/>
    </row>
    <row r="741" spans="1:7" s="4" customFormat="1" ht="18.75" x14ac:dyDescent="0.25">
      <c r="A741" s="28">
        <f t="shared" si="19"/>
        <v>696</v>
      </c>
      <c r="B741" s="29" t="s">
        <v>1110</v>
      </c>
      <c r="C741" s="29" t="s">
        <v>1111</v>
      </c>
      <c r="D741" s="28" t="s">
        <v>490</v>
      </c>
      <c r="E741" s="28">
        <v>36000</v>
      </c>
      <c r="F741" s="5"/>
      <c r="G741" s="17"/>
    </row>
    <row r="742" spans="1:7" s="4" customFormat="1" ht="25.5" x14ac:dyDescent="0.25">
      <c r="A742" s="28">
        <f t="shared" si="19"/>
        <v>697</v>
      </c>
      <c r="B742" s="29" t="s">
        <v>1112</v>
      </c>
      <c r="C742" s="29" t="s">
        <v>1113</v>
      </c>
      <c r="D742" s="28" t="s">
        <v>490</v>
      </c>
      <c r="E742" s="28">
        <v>38520</v>
      </c>
      <c r="F742" s="5"/>
      <c r="G742" s="17"/>
    </row>
    <row r="743" spans="1:7" s="4" customFormat="1" ht="32.25" customHeight="1" x14ac:dyDescent="0.25">
      <c r="A743" s="28">
        <f t="shared" si="19"/>
        <v>698</v>
      </c>
      <c r="B743" s="29" t="s">
        <v>1114</v>
      </c>
      <c r="C743" s="29" t="s">
        <v>1111</v>
      </c>
      <c r="D743" s="28" t="s">
        <v>490</v>
      </c>
      <c r="E743" s="28">
        <v>77040</v>
      </c>
      <c r="F743" s="5"/>
      <c r="G743" s="17"/>
    </row>
    <row r="744" spans="1:7" s="4" customFormat="1" ht="25.5" x14ac:dyDescent="0.25">
      <c r="A744" s="28">
        <f t="shared" si="19"/>
        <v>699</v>
      </c>
      <c r="B744" s="29" t="s">
        <v>1115</v>
      </c>
      <c r="C744" s="29" t="s">
        <v>1089</v>
      </c>
      <c r="D744" s="28" t="s">
        <v>490</v>
      </c>
      <c r="E744" s="28">
        <v>64200</v>
      </c>
      <c r="F744" s="5"/>
      <c r="G744" s="17"/>
    </row>
    <row r="745" spans="1:7" s="4" customFormat="1" ht="31.5" customHeight="1" x14ac:dyDescent="0.25">
      <c r="A745" s="28">
        <f t="shared" si="19"/>
        <v>700</v>
      </c>
      <c r="B745" s="29" t="s">
        <v>1116</v>
      </c>
      <c r="C745" s="29" t="s">
        <v>1117</v>
      </c>
      <c r="D745" s="28" t="s">
        <v>490</v>
      </c>
      <c r="E745" s="28">
        <v>59760</v>
      </c>
      <c r="F745" s="5"/>
      <c r="G745" s="17"/>
    </row>
    <row r="746" spans="1:7" s="4" customFormat="1" ht="31.5" customHeight="1" x14ac:dyDescent="0.25">
      <c r="A746" s="28">
        <f t="shared" si="19"/>
        <v>701</v>
      </c>
      <c r="B746" s="29" t="s">
        <v>1118</v>
      </c>
      <c r="C746" s="29"/>
      <c r="D746" s="28" t="s">
        <v>490</v>
      </c>
      <c r="E746" s="28">
        <v>61680</v>
      </c>
      <c r="F746" s="5"/>
      <c r="G746" s="17"/>
    </row>
    <row r="747" spans="1:7" s="4" customFormat="1" ht="18.75" x14ac:dyDescent="0.25">
      <c r="A747" s="28">
        <f t="shared" si="19"/>
        <v>702</v>
      </c>
      <c r="B747" s="29" t="s">
        <v>1119</v>
      </c>
      <c r="C747" s="29" t="s">
        <v>1120</v>
      </c>
      <c r="D747" s="28" t="s">
        <v>490</v>
      </c>
      <c r="E747" s="28">
        <v>38520</v>
      </c>
      <c r="F747" s="5"/>
      <c r="G747" s="17"/>
    </row>
    <row r="748" spans="1:7" s="4" customFormat="1" ht="32.25" customHeight="1" x14ac:dyDescent="0.25">
      <c r="A748" s="28">
        <f t="shared" si="19"/>
        <v>703</v>
      </c>
      <c r="B748" s="42" t="s">
        <v>1121</v>
      </c>
      <c r="C748" s="28"/>
      <c r="D748" s="43" t="s">
        <v>490</v>
      </c>
      <c r="E748" s="28">
        <v>23160</v>
      </c>
      <c r="F748" s="5"/>
      <c r="G748" s="17"/>
    </row>
    <row r="749" spans="1:7" s="4" customFormat="1" ht="44.25" customHeight="1" x14ac:dyDescent="0.25">
      <c r="A749" s="28">
        <f t="shared" si="19"/>
        <v>704</v>
      </c>
      <c r="B749" s="42" t="s">
        <v>1122</v>
      </c>
      <c r="C749" s="29"/>
      <c r="D749" s="43" t="s">
        <v>490</v>
      </c>
      <c r="E749" s="28">
        <v>48840</v>
      </c>
      <c r="F749" s="5"/>
      <c r="G749" s="17"/>
    </row>
    <row r="750" spans="1:7" s="4" customFormat="1" ht="24" customHeight="1" x14ac:dyDescent="0.25">
      <c r="A750" s="28">
        <f t="shared" si="19"/>
        <v>705</v>
      </c>
      <c r="B750" s="29" t="s">
        <v>1123</v>
      </c>
      <c r="C750" s="29" t="s">
        <v>1124</v>
      </c>
      <c r="D750" s="28" t="s">
        <v>490</v>
      </c>
      <c r="E750" s="28">
        <v>32160</v>
      </c>
      <c r="F750" s="5"/>
      <c r="G750" s="17"/>
    </row>
    <row r="751" spans="1:7" s="4" customFormat="1" ht="33.75" customHeight="1" x14ac:dyDescent="0.25">
      <c r="A751" s="28">
        <f t="shared" si="19"/>
        <v>706</v>
      </c>
      <c r="B751" s="29" t="s">
        <v>1125</v>
      </c>
      <c r="C751" s="29" t="s">
        <v>1126</v>
      </c>
      <c r="D751" s="28" t="s">
        <v>490</v>
      </c>
      <c r="E751" s="28">
        <v>37320</v>
      </c>
      <c r="F751" s="5"/>
      <c r="G751" s="17"/>
    </row>
    <row r="752" spans="1:7" s="4" customFormat="1" ht="18.75" x14ac:dyDescent="0.25">
      <c r="A752" s="28">
        <f t="shared" si="19"/>
        <v>707</v>
      </c>
      <c r="B752" s="29" t="s">
        <v>1127</v>
      </c>
      <c r="C752" s="29"/>
      <c r="D752" s="28" t="s">
        <v>490</v>
      </c>
      <c r="E752" s="28">
        <v>19320</v>
      </c>
      <c r="F752" s="5"/>
      <c r="G752" s="17"/>
    </row>
    <row r="753" spans="1:7" s="4" customFormat="1" ht="25.5" x14ac:dyDescent="0.25">
      <c r="A753" s="28">
        <f t="shared" si="19"/>
        <v>708</v>
      </c>
      <c r="B753" s="29" t="s">
        <v>1128</v>
      </c>
      <c r="C753" s="29" t="s">
        <v>1129</v>
      </c>
      <c r="D753" s="28" t="s">
        <v>490</v>
      </c>
      <c r="E753" s="28">
        <v>59160</v>
      </c>
      <c r="F753" s="5"/>
      <c r="G753" s="17"/>
    </row>
    <row r="754" spans="1:7" s="4" customFormat="1" ht="18.75" x14ac:dyDescent="0.25">
      <c r="A754" s="28">
        <f t="shared" si="19"/>
        <v>709</v>
      </c>
      <c r="B754" s="29" t="s">
        <v>1130</v>
      </c>
      <c r="C754" s="29" t="s">
        <v>1131</v>
      </c>
      <c r="D754" s="28" t="s">
        <v>490</v>
      </c>
      <c r="E754" s="28">
        <v>32160</v>
      </c>
      <c r="F754" s="5"/>
      <c r="G754" s="17"/>
    </row>
    <row r="755" spans="1:7" s="4" customFormat="1" ht="25.5" x14ac:dyDescent="0.25">
      <c r="A755" s="28">
        <f t="shared" si="19"/>
        <v>710</v>
      </c>
      <c r="B755" s="29" t="s">
        <v>1132</v>
      </c>
      <c r="C755" s="29" t="s">
        <v>1133</v>
      </c>
      <c r="D755" s="28" t="s">
        <v>490</v>
      </c>
      <c r="E755" s="28">
        <v>59160</v>
      </c>
      <c r="F755" s="5"/>
      <c r="G755" s="17"/>
    </row>
    <row r="756" spans="1:7" s="4" customFormat="1" ht="25.5" x14ac:dyDescent="0.25">
      <c r="A756" s="28">
        <f t="shared" si="19"/>
        <v>711</v>
      </c>
      <c r="B756" s="29" t="s">
        <v>1134</v>
      </c>
      <c r="C756" s="29" t="s">
        <v>1135</v>
      </c>
      <c r="D756" s="28" t="s">
        <v>490</v>
      </c>
      <c r="E756" s="28">
        <v>70680</v>
      </c>
      <c r="F756" s="5"/>
      <c r="G756" s="17"/>
    </row>
    <row r="757" spans="1:7" s="4" customFormat="1" ht="31.5" customHeight="1" x14ac:dyDescent="0.25">
      <c r="A757" s="28">
        <f t="shared" si="19"/>
        <v>712</v>
      </c>
      <c r="B757" s="29" t="s">
        <v>1136</v>
      </c>
      <c r="C757" s="29" t="s">
        <v>1137</v>
      </c>
      <c r="D757" s="28" t="s">
        <v>490</v>
      </c>
      <c r="E757" s="28">
        <v>37320</v>
      </c>
      <c r="F757" s="5"/>
      <c r="G757" s="17"/>
    </row>
    <row r="758" spans="1:7" s="4" customFormat="1" ht="31.5" customHeight="1" x14ac:dyDescent="0.25">
      <c r="A758" s="28">
        <f t="shared" si="19"/>
        <v>713</v>
      </c>
      <c r="B758" s="29" t="s">
        <v>1138</v>
      </c>
      <c r="C758" s="29" t="s">
        <v>1139</v>
      </c>
      <c r="D758" s="28" t="s">
        <v>490</v>
      </c>
      <c r="E758" s="28">
        <v>41160</v>
      </c>
      <c r="F758" s="5"/>
      <c r="G758" s="17"/>
    </row>
    <row r="759" spans="1:7" s="4" customFormat="1" ht="33" customHeight="1" x14ac:dyDescent="0.25">
      <c r="A759" s="28">
        <f t="shared" si="19"/>
        <v>714</v>
      </c>
      <c r="B759" s="29" t="s">
        <v>1140</v>
      </c>
      <c r="C759" s="29" t="s">
        <v>1141</v>
      </c>
      <c r="D759" s="28" t="s">
        <v>490</v>
      </c>
      <c r="E759" s="28">
        <v>61680</v>
      </c>
      <c r="F759" s="5"/>
      <c r="G759" s="17"/>
    </row>
    <row r="760" spans="1:7" s="4" customFormat="1" ht="18.75" x14ac:dyDescent="0.25">
      <c r="A760" s="28">
        <f t="shared" si="19"/>
        <v>715</v>
      </c>
      <c r="B760" s="29" t="s">
        <v>1142</v>
      </c>
      <c r="C760" s="29" t="s">
        <v>1143</v>
      </c>
      <c r="D760" s="28" t="s">
        <v>490</v>
      </c>
      <c r="E760" s="28">
        <v>32160</v>
      </c>
      <c r="F760" s="5"/>
      <c r="G760" s="17"/>
    </row>
    <row r="761" spans="1:7" s="4" customFormat="1" ht="25.5" x14ac:dyDescent="0.25">
      <c r="A761" s="28">
        <f t="shared" si="19"/>
        <v>716</v>
      </c>
      <c r="B761" s="29" t="s">
        <v>1144</v>
      </c>
      <c r="C761" s="29" t="s">
        <v>1145</v>
      </c>
      <c r="D761" s="28" t="s">
        <v>490</v>
      </c>
      <c r="E761" s="28">
        <v>59160</v>
      </c>
      <c r="F761" s="5"/>
      <c r="G761" s="17"/>
    </row>
    <row r="762" spans="1:7" s="4" customFormat="1" ht="25.5" x14ac:dyDescent="0.25">
      <c r="A762" s="28">
        <f t="shared" si="19"/>
        <v>717</v>
      </c>
      <c r="B762" s="29" t="s">
        <v>1146</v>
      </c>
      <c r="C762" s="29" t="s">
        <v>1147</v>
      </c>
      <c r="D762" s="28" t="s">
        <v>490</v>
      </c>
      <c r="E762" s="28">
        <v>32160</v>
      </c>
      <c r="F762" s="5"/>
      <c r="G762" s="17"/>
    </row>
    <row r="763" spans="1:7" s="4" customFormat="1" ht="25.5" x14ac:dyDescent="0.25">
      <c r="A763" s="28">
        <f t="shared" si="19"/>
        <v>718</v>
      </c>
      <c r="B763" s="29" t="s">
        <v>1148</v>
      </c>
      <c r="C763" s="29" t="s">
        <v>1147</v>
      </c>
      <c r="D763" s="28" t="s">
        <v>490</v>
      </c>
      <c r="E763" s="28">
        <v>54600</v>
      </c>
      <c r="F763" s="5"/>
      <c r="G763" s="17"/>
    </row>
    <row r="764" spans="1:7" s="4" customFormat="1" ht="30.75" customHeight="1" x14ac:dyDescent="0.25">
      <c r="A764" s="28">
        <f t="shared" si="19"/>
        <v>719</v>
      </c>
      <c r="B764" s="29" t="s">
        <v>1149</v>
      </c>
      <c r="C764" s="29" t="s">
        <v>1147</v>
      </c>
      <c r="D764" s="28" t="s">
        <v>490</v>
      </c>
      <c r="E764" s="28">
        <v>47520</v>
      </c>
      <c r="F764" s="5"/>
      <c r="G764" s="17"/>
    </row>
    <row r="765" spans="1:7" s="4" customFormat="1" ht="30.75" customHeight="1" x14ac:dyDescent="0.25">
      <c r="A765" s="28">
        <f t="shared" si="19"/>
        <v>720</v>
      </c>
      <c r="B765" s="29" t="s">
        <v>1150</v>
      </c>
      <c r="C765" s="29" t="s">
        <v>1151</v>
      </c>
      <c r="D765" s="28" t="s">
        <v>490</v>
      </c>
      <c r="E765" s="28">
        <v>59160</v>
      </c>
      <c r="F765" s="5"/>
      <c r="G765" s="17"/>
    </row>
    <row r="766" spans="1:7" s="4" customFormat="1" ht="30.75" customHeight="1" x14ac:dyDescent="0.25">
      <c r="A766" s="28">
        <f t="shared" si="19"/>
        <v>721</v>
      </c>
      <c r="B766" s="29" t="s">
        <v>1152</v>
      </c>
      <c r="C766" s="29" t="s">
        <v>1147</v>
      </c>
      <c r="D766" s="28" t="s">
        <v>490</v>
      </c>
      <c r="E766" s="28">
        <v>72000</v>
      </c>
      <c r="F766" s="5"/>
      <c r="G766" s="17"/>
    </row>
    <row r="767" spans="1:7" s="4" customFormat="1" ht="30.75" customHeight="1" x14ac:dyDescent="0.25">
      <c r="A767" s="28">
        <f t="shared" si="19"/>
        <v>722</v>
      </c>
      <c r="B767" s="29" t="s">
        <v>1153</v>
      </c>
      <c r="C767" s="29"/>
      <c r="D767" s="28" t="s">
        <v>490</v>
      </c>
      <c r="E767" s="28">
        <v>51360</v>
      </c>
      <c r="F767" s="5"/>
      <c r="G767" s="17"/>
    </row>
    <row r="768" spans="1:7" s="4" customFormat="1" ht="42" customHeight="1" x14ac:dyDescent="0.25">
      <c r="A768" s="28">
        <f t="shared" si="19"/>
        <v>723</v>
      </c>
      <c r="B768" s="29" t="s">
        <v>1154</v>
      </c>
      <c r="C768" s="29"/>
      <c r="D768" s="28" t="s">
        <v>490</v>
      </c>
      <c r="E768" s="28">
        <v>72000</v>
      </c>
      <c r="F768" s="5"/>
      <c r="G768" s="17"/>
    </row>
    <row r="769" spans="1:7" s="4" customFormat="1" ht="22.5" customHeight="1" x14ac:dyDescent="0.25">
      <c r="A769" s="28">
        <f t="shared" si="19"/>
        <v>724</v>
      </c>
      <c r="B769" s="29" t="s">
        <v>1155</v>
      </c>
      <c r="C769" s="29" t="s">
        <v>1156</v>
      </c>
      <c r="D769" s="28" t="s">
        <v>490</v>
      </c>
      <c r="E769" s="28">
        <v>32160</v>
      </c>
      <c r="F769" s="5"/>
      <c r="G769" s="17"/>
    </row>
    <row r="770" spans="1:7" s="4" customFormat="1" ht="27.75" customHeight="1" x14ac:dyDescent="0.25">
      <c r="A770" s="28">
        <f t="shared" si="19"/>
        <v>725</v>
      </c>
      <c r="B770" s="29" t="s">
        <v>1157</v>
      </c>
      <c r="C770" s="29" t="s">
        <v>1158</v>
      </c>
      <c r="D770" s="28" t="s">
        <v>490</v>
      </c>
      <c r="E770" s="28">
        <v>59160</v>
      </c>
      <c r="F770" s="5"/>
      <c r="G770" s="17"/>
    </row>
    <row r="771" spans="1:7" s="4" customFormat="1" ht="18.75" x14ac:dyDescent="0.25">
      <c r="A771" s="28">
        <f t="shared" si="19"/>
        <v>726</v>
      </c>
      <c r="B771" s="29" t="s">
        <v>1159</v>
      </c>
      <c r="C771" s="29" t="s">
        <v>1160</v>
      </c>
      <c r="D771" s="28" t="s">
        <v>490</v>
      </c>
      <c r="E771" s="28">
        <v>48840</v>
      </c>
      <c r="F771" s="5"/>
      <c r="G771" s="17"/>
    </row>
    <row r="772" spans="1:7" s="4" customFormat="1" ht="34.5" customHeight="1" x14ac:dyDescent="0.25">
      <c r="A772" s="28">
        <f t="shared" si="19"/>
        <v>727</v>
      </c>
      <c r="B772" s="29" t="s">
        <v>1161</v>
      </c>
      <c r="C772" s="29" t="s">
        <v>1162</v>
      </c>
      <c r="D772" s="28" t="s">
        <v>490</v>
      </c>
      <c r="E772" s="28">
        <v>77040</v>
      </c>
      <c r="F772" s="5"/>
      <c r="G772" s="17"/>
    </row>
    <row r="773" spans="1:7" s="4" customFormat="1" ht="34.5" customHeight="1" x14ac:dyDescent="0.25">
      <c r="A773" s="28">
        <f t="shared" si="19"/>
        <v>728</v>
      </c>
      <c r="B773" s="29" t="s">
        <v>1163</v>
      </c>
      <c r="C773" s="29" t="s">
        <v>1164</v>
      </c>
      <c r="D773" s="28" t="s">
        <v>490</v>
      </c>
      <c r="E773" s="28">
        <v>60360</v>
      </c>
      <c r="F773" s="5"/>
      <c r="G773" s="17"/>
    </row>
    <row r="774" spans="1:7" s="4" customFormat="1" ht="18.75" x14ac:dyDescent="0.25">
      <c r="A774" s="28">
        <f t="shared" si="19"/>
        <v>729</v>
      </c>
      <c r="B774" s="46" t="s">
        <v>1165</v>
      </c>
      <c r="C774" s="29" t="s">
        <v>1166</v>
      </c>
      <c r="D774" s="28" t="s">
        <v>490</v>
      </c>
      <c r="E774" s="28">
        <v>7800</v>
      </c>
      <c r="F774" s="5"/>
      <c r="G774" s="17"/>
    </row>
    <row r="775" spans="1:7" s="4" customFormat="1" ht="18.75" x14ac:dyDescent="0.25">
      <c r="A775" s="28">
        <f t="shared" si="19"/>
        <v>730</v>
      </c>
      <c r="B775" s="33" t="s">
        <v>1167</v>
      </c>
      <c r="C775" s="29" t="s">
        <v>1168</v>
      </c>
      <c r="D775" s="28" t="s">
        <v>490</v>
      </c>
      <c r="E775" s="28">
        <v>5880</v>
      </c>
      <c r="F775" s="5"/>
      <c r="G775" s="17"/>
    </row>
    <row r="776" spans="1:7" s="4" customFormat="1" ht="18.75" x14ac:dyDescent="0.25">
      <c r="A776" s="28">
        <f t="shared" si="19"/>
        <v>731</v>
      </c>
      <c r="B776" s="33" t="s">
        <v>1169</v>
      </c>
      <c r="C776" s="29" t="s">
        <v>1170</v>
      </c>
      <c r="D776" s="28" t="s">
        <v>490</v>
      </c>
      <c r="E776" s="28">
        <v>7800</v>
      </c>
      <c r="F776" s="5"/>
      <c r="G776" s="17"/>
    </row>
    <row r="777" spans="1:7" s="4" customFormat="1" ht="18.75" x14ac:dyDescent="0.25">
      <c r="A777" s="28">
        <f t="shared" si="19"/>
        <v>732</v>
      </c>
      <c r="B777" s="33" t="s">
        <v>1171</v>
      </c>
      <c r="C777" s="29" t="s">
        <v>1172</v>
      </c>
      <c r="D777" s="28" t="s">
        <v>490</v>
      </c>
      <c r="E777" s="28">
        <v>5880</v>
      </c>
      <c r="F777" s="5"/>
      <c r="G777" s="17"/>
    </row>
    <row r="778" spans="1:7" s="4" customFormat="1" ht="25.5" x14ac:dyDescent="0.25">
      <c r="A778" s="28">
        <f t="shared" si="19"/>
        <v>733</v>
      </c>
      <c r="B778" s="33" t="s">
        <v>1173</v>
      </c>
      <c r="C778" s="29" t="s">
        <v>1174</v>
      </c>
      <c r="D778" s="28" t="s">
        <v>490</v>
      </c>
      <c r="E778" s="28">
        <v>6480</v>
      </c>
      <c r="F778" s="5"/>
      <c r="G778" s="17"/>
    </row>
    <row r="779" spans="1:7" s="4" customFormat="1" ht="18.75" x14ac:dyDescent="0.25">
      <c r="A779" s="28">
        <f t="shared" ref="A779:A840" si="20">A778+1</f>
        <v>734</v>
      </c>
      <c r="B779" s="33" t="s">
        <v>1175</v>
      </c>
      <c r="C779" s="29" t="s">
        <v>1176</v>
      </c>
      <c r="D779" s="28" t="s">
        <v>490</v>
      </c>
      <c r="E779" s="28">
        <v>5880</v>
      </c>
      <c r="F779" s="5"/>
      <c r="G779" s="17"/>
    </row>
    <row r="780" spans="1:7" s="4" customFormat="1" ht="18.75" x14ac:dyDescent="0.25">
      <c r="A780" s="28">
        <f t="shared" si="20"/>
        <v>735</v>
      </c>
      <c r="B780" s="33" t="s">
        <v>1177</v>
      </c>
      <c r="C780" s="29" t="s">
        <v>1178</v>
      </c>
      <c r="D780" s="28" t="s">
        <v>490</v>
      </c>
      <c r="E780" s="28">
        <v>5880</v>
      </c>
      <c r="F780" s="5"/>
      <c r="G780" s="17"/>
    </row>
    <row r="781" spans="1:7" s="4" customFormat="1" ht="18.75" x14ac:dyDescent="0.25">
      <c r="A781" s="28">
        <f t="shared" si="20"/>
        <v>736</v>
      </c>
      <c r="B781" s="33" t="s">
        <v>1179</v>
      </c>
      <c r="C781" s="29" t="s">
        <v>1180</v>
      </c>
      <c r="D781" s="28" t="s">
        <v>490</v>
      </c>
      <c r="E781" s="28">
        <v>5400</v>
      </c>
      <c r="F781" s="5"/>
      <c r="G781" s="17"/>
    </row>
    <row r="782" spans="1:7" s="4" customFormat="1" ht="25.5" x14ac:dyDescent="0.25">
      <c r="A782" s="28">
        <f t="shared" si="20"/>
        <v>737</v>
      </c>
      <c r="B782" s="33" t="s">
        <v>1181</v>
      </c>
      <c r="C782" s="29" t="s">
        <v>1182</v>
      </c>
      <c r="D782" s="28" t="s">
        <v>490</v>
      </c>
      <c r="E782" s="28">
        <v>7800</v>
      </c>
      <c r="F782" s="5"/>
      <c r="G782" s="17"/>
    </row>
    <row r="783" spans="1:7" s="4" customFormat="1" ht="25.5" x14ac:dyDescent="0.25">
      <c r="A783" s="28">
        <f t="shared" si="20"/>
        <v>738</v>
      </c>
      <c r="B783" s="33" t="s">
        <v>3081</v>
      </c>
      <c r="C783" s="29" t="s">
        <v>1183</v>
      </c>
      <c r="D783" s="28" t="s">
        <v>490</v>
      </c>
      <c r="E783" s="28">
        <v>7800</v>
      </c>
      <c r="F783" s="5"/>
      <c r="G783" s="17"/>
    </row>
    <row r="784" spans="1:7" s="4" customFormat="1" ht="30" customHeight="1" x14ac:dyDescent="0.25">
      <c r="A784" s="28">
        <f t="shared" si="20"/>
        <v>739</v>
      </c>
      <c r="B784" s="33" t="s">
        <v>1184</v>
      </c>
      <c r="C784" s="29" t="s">
        <v>1185</v>
      </c>
      <c r="D784" s="28" t="s">
        <v>490</v>
      </c>
      <c r="E784" s="28">
        <v>7800</v>
      </c>
      <c r="F784" s="5"/>
      <c r="G784" s="17"/>
    </row>
    <row r="785" spans="1:7" s="4" customFormat="1" ht="18.75" x14ac:dyDescent="0.25">
      <c r="A785" s="28">
        <f t="shared" si="20"/>
        <v>740</v>
      </c>
      <c r="B785" s="33" t="s">
        <v>1186</v>
      </c>
      <c r="C785" s="29" t="s">
        <v>1187</v>
      </c>
      <c r="D785" s="28" t="s">
        <v>490</v>
      </c>
      <c r="E785" s="28">
        <v>4560</v>
      </c>
      <c r="F785" s="5"/>
      <c r="G785" s="17"/>
    </row>
    <row r="786" spans="1:7" s="4" customFormat="1" ht="18.75" x14ac:dyDescent="0.25">
      <c r="A786" s="28">
        <f t="shared" si="20"/>
        <v>741</v>
      </c>
      <c r="B786" s="33" t="s">
        <v>1188</v>
      </c>
      <c r="C786" s="29" t="s">
        <v>1189</v>
      </c>
      <c r="D786" s="28" t="s">
        <v>490</v>
      </c>
      <c r="E786" s="28">
        <v>4560</v>
      </c>
      <c r="F786" s="5"/>
      <c r="G786" s="17"/>
    </row>
    <row r="787" spans="1:7" s="4" customFormat="1" ht="18.75" x14ac:dyDescent="0.25">
      <c r="A787" s="28">
        <f t="shared" si="20"/>
        <v>742</v>
      </c>
      <c r="B787" s="33" t="s">
        <v>1190</v>
      </c>
      <c r="C787" s="29" t="s">
        <v>1191</v>
      </c>
      <c r="D787" s="28" t="s">
        <v>490</v>
      </c>
      <c r="E787" s="28">
        <v>7800</v>
      </c>
      <c r="F787" s="5"/>
      <c r="G787" s="17"/>
    </row>
    <row r="788" spans="1:7" s="4" customFormat="1" ht="18.75" x14ac:dyDescent="0.25">
      <c r="A788" s="28">
        <f t="shared" si="20"/>
        <v>743</v>
      </c>
      <c r="B788" s="33" t="s">
        <v>1192</v>
      </c>
      <c r="C788" s="29" t="s">
        <v>1193</v>
      </c>
      <c r="D788" s="28" t="s">
        <v>490</v>
      </c>
      <c r="E788" s="28">
        <v>6480</v>
      </c>
      <c r="F788" s="5"/>
      <c r="G788" s="17"/>
    </row>
    <row r="789" spans="1:7" s="4" customFormat="1" ht="18.75" x14ac:dyDescent="0.25">
      <c r="A789" s="28">
        <f t="shared" si="20"/>
        <v>744</v>
      </c>
      <c r="B789" s="33" t="s">
        <v>1194</v>
      </c>
      <c r="C789" s="29" t="s">
        <v>1195</v>
      </c>
      <c r="D789" s="28" t="s">
        <v>490</v>
      </c>
      <c r="E789" s="28">
        <v>6480</v>
      </c>
      <c r="F789" s="5"/>
      <c r="G789" s="17"/>
    </row>
    <row r="790" spans="1:7" s="4" customFormat="1" ht="18.75" x14ac:dyDescent="0.25">
      <c r="A790" s="28">
        <f t="shared" si="20"/>
        <v>745</v>
      </c>
      <c r="B790" s="33" t="s">
        <v>1196</v>
      </c>
      <c r="C790" s="29" t="s">
        <v>1197</v>
      </c>
      <c r="D790" s="28" t="s">
        <v>490</v>
      </c>
      <c r="E790" s="28">
        <v>6480</v>
      </c>
      <c r="F790" s="5"/>
      <c r="G790" s="17"/>
    </row>
    <row r="791" spans="1:7" s="4" customFormat="1" ht="18.75" x14ac:dyDescent="0.25">
      <c r="A791" s="28">
        <f t="shared" si="20"/>
        <v>746</v>
      </c>
      <c r="B791" s="33" t="s">
        <v>1198</v>
      </c>
      <c r="C791" s="29" t="s">
        <v>1199</v>
      </c>
      <c r="D791" s="28" t="s">
        <v>490</v>
      </c>
      <c r="E791" s="28">
        <v>6480</v>
      </c>
      <c r="F791" s="5"/>
      <c r="G791" s="17"/>
    </row>
    <row r="792" spans="1:7" s="4" customFormat="1" ht="18.75" x14ac:dyDescent="0.25">
      <c r="A792" s="28">
        <f t="shared" si="20"/>
        <v>747</v>
      </c>
      <c r="B792" s="33" t="s">
        <v>1200</v>
      </c>
      <c r="C792" s="29" t="s">
        <v>1201</v>
      </c>
      <c r="D792" s="28" t="s">
        <v>490</v>
      </c>
      <c r="E792" s="28">
        <v>6480</v>
      </c>
      <c r="F792" s="5"/>
      <c r="G792" s="17"/>
    </row>
    <row r="793" spans="1:7" s="4" customFormat="1" ht="18.75" x14ac:dyDescent="0.25">
      <c r="A793" s="28">
        <f t="shared" si="20"/>
        <v>748</v>
      </c>
      <c r="B793" s="33" t="s">
        <v>1202</v>
      </c>
      <c r="C793" s="29" t="s">
        <v>1203</v>
      </c>
      <c r="D793" s="28" t="s">
        <v>490</v>
      </c>
      <c r="E793" s="28">
        <v>6480</v>
      </c>
      <c r="F793" s="5"/>
      <c r="G793" s="17"/>
    </row>
    <row r="794" spans="1:7" s="4" customFormat="1" ht="18.75" x14ac:dyDescent="0.25">
      <c r="A794" s="28">
        <f t="shared" si="20"/>
        <v>749</v>
      </c>
      <c r="B794" s="33" t="s">
        <v>1204</v>
      </c>
      <c r="C794" s="29" t="s">
        <v>1205</v>
      </c>
      <c r="D794" s="28" t="s">
        <v>490</v>
      </c>
      <c r="E794" s="28">
        <v>6480</v>
      </c>
      <c r="F794" s="5"/>
      <c r="G794" s="17"/>
    </row>
    <row r="795" spans="1:7" s="4" customFormat="1" ht="18.75" x14ac:dyDescent="0.25">
      <c r="A795" s="28">
        <f t="shared" si="20"/>
        <v>750</v>
      </c>
      <c r="B795" s="33" t="s">
        <v>1206</v>
      </c>
      <c r="C795" s="29" t="s">
        <v>1207</v>
      </c>
      <c r="D795" s="28" t="s">
        <v>490</v>
      </c>
      <c r="E795" s="28">
        <v>6480</v>
      </c>
      <c r="F795" s="5"/>
      <c r="G795" s="17"/>
    </row>
    <row r="796" spans="1:7" s="4" customFormat="1" ht="18.75" x14ac:dyDescent="0.25">
      <c r="A796" s="28">
        <f t="shared" si="20"/>
        <v>751</v>
      </c>
      <c r="B796" s="33" t="s">
        <v>1208</v>
      </c>
      <c r="C796" s="29" t="s">
        <v>1209</v>
      </c>
      <c r="D796" s="28" t="s">
        <v>490</v>
      </c>
      <c r="E796" s="28">
        <v>7800</v>
      </c>
      <c r="F796" s="5"/>
      <c r="G796" s="17"/>
    </row>
    <row r="797" spans="1:7" s="4" customFormat="1" ht="18.75" x14ac:dyDescent="0.25">
      <c r="A797" s="28">
        <f t="shared" si="20"/>
        <v>752</v>
      </c>
      <c r="B797" s="33" t="s">
        <v>1210</v>
      </c>
      <c r="C797" s="29" t="s">
        <v>1211</v>
      </c>
      <c r="D797" s="28" t="s">
        <v>490</v>
      </c>
      <c r="E797" s="28">
        <v>7800</v>
      </c>
      <c r="F797" s="5"/>
      <c r="G797" s="17"/>
    </row>
    <row r="798" spans="1:7" s="4" customFormat="1" ht="18.75" x14ac:dyDescent="0.25">
      <c r="A798" s="28">
        <f t="shared" si="20"/>
        <v>753</v>
      </c>
      <c r="B798" s="33" t="s">
        <v>1212</v>
      </c>
      <c r="C798" s="29" t="s">
        <v>1213</v>
      </c>
      <c r="D798" s="28" t="s">
        <v>490</v>
      </c>
      <c r="E798" s="28">
        <v>7800</v>
      </c>
      <c r="F798" s="5"/>
      <c r="G798" s="17"/>
    </row>
    <row r="799" spans="1:7" s="4" customFormat="1" ht="18.75" x14ac:dyDescent="0.25">
      <c r="A799" s="28">
        <f t="shared" si="20"/>
        <v>754</v>
      </c>
      <c r="B799" s="33" t="s">
        <v>1214</v>
      </c>
      <c r="C799" s="29" t="s">
        <v>1215</v>
      </c>
      <c r="D799" s="28" t="s">
        <v>490</v>
      </c>
      <c r="E799" s="28">
        <v>7800</v>
      </c>
      <c r="F799" s="5"/>
      <c r="G799" s="17"/>
    </row>
    <row r="800" spans="1:7" s="4" customFormat="1" ht="18.75" x14ac:dyDescent="0.25">
      <c r="A800" s="28">
        <f t="shared" si="20"/>
        <v>755</v>
      </c>
      <c r="B800" s="33" t="s">
        <v>1216</v>
      </c>
      <c r="C800" s="29" t="s">
        <v>1217</v>
      </c>
      <c r="D800" s="28" t="s">
        <v>490</v>
      </c>
      <c r="E800" s="28">
        <v>7800</v>
      </c>
      <c r="F800" s="5"/>
      <c r="G800" s="17"/>
    </row>
    <row r="801" spans="1:7" s="4" customFormat="1" ht="18.75" x14ac:dyDescent="0.25">
      <c r="A801" s="28">
        <f t="shared" si="20"/>
        <v>756</v>
      </c>
      <c r="B801" s="33" t="s">
        <v>1218</v>
      </c>
      <c r="C801" s="29" t="s">
        <v>1219</v>
      </c>
      <c r="D801" s="28" t="s">
        <v>490</v>
      </c>
      <c r="E801" s="28">
        <v>7800</v>
      </c>
      <c r="F801" s="5"/>
      <c r="G801" s="17"/>
    </row>
    <row r="802" spans="1:7" s="4" customFormat="1" ht="18.75" x14ac:dyDescent="0.25">
      <c r="A802" s="28">
        <f t="shared" si="20"/>
        <v>757</v>
      </c>
      <c r="B802" s="33" t="s">
        <v>1220</v>
      </c>
      <c r="C802" s="29" t="s">
        <v>1221</v>
      </c>
      <c r="D802" s="28" t="s">
        <v>490</v>
      </c>
      <c r="E802" s="28">
        <v>7800</v>
      </c>
      <c r="F802" s="5"/>
      <c r="G802" s="17"/>
    </row>
    <row r="803" spans="1:7" s="4" customFormat="1" ht="18.75" x14ac:dyDescent="0.25">
      <c r="A803" s="28">
        <f t="shared" si="20"/>
        <v>758</v>
      </c>
      <c r="B803" s="33" t="s">
        <v>1222</v>
      </c>
      <c r="C803" s="29" t="s">
        <v>1223</v>
      </c>
      <c r="D803" s="28" t="s">
        <v>490</v>
      </c>
      <c r="E803" s="28">
        <v>7800</v>
      </c>
      <c r="F803" s="5"/>
      <c r="G803" s="17"/>
    </row>
    <row r="804" spans="1:7" s="4" customFormat="1" ht="18.75" x14ac:dyDescent="0.25">
      <c r="A804" s="28">
        <f t="shared" si="20"/>
        <v>759</v>
      </c>
      <c r="B804" s="33" t="s">
        <v>1224</v>
      </c>
      <c r="C804" s="29" t="s">
        <v>1225</v>
      </c>
      <c r="D804" s="28" t="s">
        <v>490</v>
      </c>
      <c r="E804" s="28">
        <v>7800</v>
      </c>
      <c r="F804" s="5"/>
      <c r="G804" s="17"/>
    </row>
    <row r="805" spans="1:7" s="4" customFormat="1" ht="18.75" x14ac:dyDescent="0.25">
      <c r="A805" s="28">
        <f t="shared" si="20"/>
        <v>760</v>
      </c>
      <c r="B805" s="33" t="s">
        <v>1226</v>
      </c>
      <c r="C805" s="29" t="s">
        <v>1227</v>
      </c>
      <c r="D805" s="28" t="s">
        <v>490</v>
      </c>
      <c r="E805" s="28">
        <v>7800</v>
      </c>
      <c r="F805" s="5"/>
      <c r="G805" s="17"/>
    </row>
    <row r="806" spans="1:7" s="4" customFormat="1" ht="25.5" x14ac:dyDescent="0.25">
      <c r="A806" s="28">
        <f t="shared" si="20"/>
        <v>761</v>
      </c>
      <c r="B806" s="33" t="s">
        <v>1228</v>
      </c>
      <c r="C806" s="29" t="s">
        <v>1229</v>
      </c>
      <c r="D806" s="28" t="s">
        <v>490</v>
      </c>
      <c r="E806" s="28">
        <v>7800</v>
      </c>
      <c r="F806" s="5"/>
      <c r="G806" s="17"/>
    </row>
    <row r="807" spans="1:7" s="4" customFormat="1" ht="18.75" x14ac:dyDescent="0.25">
      <c r="A807" s="28">
        <f t="shared" si="20"/>
        <v>762</v>
      </c>
      <c r="B807" s="33" t="s">
        <v>1204</v>
      </c>
      <c r="C807" s="29" t="s">
        <v>1205</v>
      </c>
      <c r="D807" s="28" t="s">
        <v>490</v>
      </c>
      <c r="E807" s="28">
        <v>6480</v>
      </c>
      <c r="F807" s="5"/>
      <c r="G807" s="17"/>
    </row>
    <row r="808" spans="1:7" s="4" customFormat="1" ht="18.75" x14ac:dyDescent="0.25">
      <c r="A808" s="28">
        <f t="shared" si="20"/>
        <v>763</v>
      </c>
      <c r="B808" s="33" t="s">
        <v>1230</v>
      </c>
      <c r="C808" s="29" t="s">
        <v>1231</v>
      </c>
      <c r="D808" s="28" t="s">
        <v>490</v>
      </c>
      <c r="E808" s="28">
        <v>7800</v>
      </c>
      <c r="F808" s="5"/>
      <c r="G808" s="17"/>
    </row>
    <row r="809" spans="1:7" s="4" customFormat="1" ht="25.5" x14ac:dyDescent="0.25">
      <c r="A809" s="28">
        <f t="shared" si="20"/>
        <v>764</v>
      </c>
      <c r="B809" s="33" t="s">
        <v>1232</v>
      </c>
      <c r="C809" s="29" t="s">
        <v>1233</v>
      </c>
      <c r="D809" s="28" t="s">
        <v>490</v>
      </c>
      <c r="E809" s="28">
        <v>20640</v>
      </c>
      <c r="F809" s="5"/>
      <c r="G809" s="17"/>
    </row>
    <row r="810" spans="1:7" s="4" customFormat="1" ht="18.75" x14ac:dyDescent="0.25">
      <c r="A810" s="28">
        <f t="shared" si="20"/>
        <v>765</v>
      </c>
      <c r="B810" s="33" t="s">
        <v>1234</v>
      </c>
      <c r="C810" s="29" t="s">
        <v>1235</v>
      </c>
      <c r="D810" s="28" t="s">
        <v>490</v>
      </c>
      <c r="E810" s="28">
        <v>20640</v>
      </c>
      <c r="F810" s="5"/>
      <c r="G810" s="17"/>
    </row>
    <row r="811" spans="1:7" s="4" customFormat="1" ht="18.75" x14ac:dyDescent="0.25">
      <c r="A811" s="28">
        <f t="shared" si="20"/>
        <v>766</v>
      </c>
      <c r="B811" s="33" t="s">
        <v>1236</v>
      </c>
      <c r="C811" s="29" t="s">
        <v>1237</v>
      </c>
      <c r="D811" s="28" t="s">
        <v>490</v>
      </c>
      <c r="E811" s="28">
        <v>6480</v>
      </c>
      <c r="F811" s="5"/>
      <c r="G811" s="17"/>
    </row>
    <row r="812" spans="1:7" s="4" customFormat="1" ht="18.75" x14ac:dyDescent="0.25">
      <c r="A812" s="28">
        <f t="shared" si="20"/>
        <v>767</v>
      </c>
      <c r="B812" s="33" t="s">
        <v>1238</v>
      </c>
      <c r="C812" s="29" t="s">
        <v>1239</v>
      </c>
      <c r="D812" s="28" t="s">
        <v>490</v>
      </c>
      <c r="E812" s="28">
        <v>6480</v>
      </c>
      <c r="F812" s="5"/>
      <c r="G812" s="17"/>
    </row>
    <row r="813" spans="1:7" s="4" customFormat="1" ht="18.75" x14ac:dyDescent="0.25">
      <c r="A813" s="28">
        <f t="shared" si="20"/>
        <v>768</v>
      </c>
      <c r="B813" s="33" t="s">
        <v>1240</v>
      </c>
      <c r="C813" s="29" t="s">
        <v>1241</v>
      </c>
      <c r="D813" s="28" t="s">
        <v>490</v>
      </c>
      <c r="E813" s="28">
        <v>23160</v>
      </c>
      <c r="F813" s="5"/>
      <c r="G813" s="17"/>
    </row>
    <row r="814" spans="1:7" s="4" customFormat="1" ht="18.75" x14ac:dyDescent="0.25">
      <c r="A814" s="28">
        <f t="shared" si="20"/>
        <v>769</v>
      </c>
      <c r="B814" s="33" t="s">
        <v>1242</v>
      </c>
      <c r="C814" s="29" t="s">
        <v>1243</v>
      </c>
      <c r="D814" s="28" t="s">
        <v>490</v>
      </c>
      <c r="E814" s="28">
        <v>23160</v>
      </c>
      <c r="F814" s="5"/>
      <c r="G814" s="17"/>
    </row>
    <row r="815" spans="1:7" s="4" customFormat="1" ht="18.75" x14ac:dyDescent="0.25">
      <c r="A815" s="28">
        <f t="shared" si="20"/>
        <v>770</v>
      </c>
      <c r="B815" s="33" t="s">
        <v>1244</v>
      </c>
      <c r="C815" s="29" t="s">
        <v>1245</v>
      </c>
      <c r="D815" s="28" t="s">
        <v>490</v>
      </c>
      <c r="E815" s="28">
        <v>22560</v>
      </c>
      <c r="F815" s="5"/>
      <c r="G815" s="17"/>
    </row>
    <row r="816" spans="1:7" s="4" customFormat="1" ht="18.75" x14ac:dyDescent="0.25">
      <c r="A816" s="28">
        <f t="shared" si="20"/>
        <v>771</v>
      </c>
      <c r="B816" s="33" t="s">
        <v>1246</v>
      </c>
      <c r="C816" s="29" t="s">
        <v>1247</v>
      </c>
      <c r="D816" s="28" t="s">
        <v>490</v>
      </c>
      <c r="E816" s="28">
        <v>22560</v>
      </c>
      <c r="F816" s="5"/>
      <c r="G816" s="17"/>
    </row>
    <row r="817" spans="1:7" s="4" customFormat="1" ht="18.75" x14ac:dyDescent="0.25">
      <c r="A817" s="28">
        <f t="shared" si="20"/>
        <v>772</v>
      </c>
      <c r="B817" s="33" t="s">
        <v>1248</v>
      </c>
      <c r="C817" s="29" t="s">
        <v>1249</v>
      </c>
      <c r="D817" s="28" t="s">
        <v>490</v>
      </c>
      <c r="E817" s="28">
        <v>36000</v>
      </c>
      <c r="F817" s="5"/>
      <c r="G817" s="17"/>
    </row>
    <row r="818" spans="1:7" s="4" customFormat="1" ht="25.5" x14ac:dyDescent="0.25">
      <c r="A818" s="28">
        <f t="shared" si="20"/>
        <v>773</v>
      </c>
      <c r="B818" s="33" t="s">
        <v>1250</v>
      </c>
      <c r="C818" s="29" t="s">
        <v>1251</v>
      </c>
      <c r="D818" s="28" t="s">
        <v>490</v>
      </c>
      <c r="E818" s="28">
        <v>23760</v>
      </c>
      <c r="F818" s="5"/>
      <c r="G818" s="17"/>
    </row>
    <row r="819" spans="1:7" s="4" customFormat="1" ht="18.75" x14ac:dyDescent="0.25">
      <c r="A819" s="28">
        <f t="shared" si="20"/>
        <v>774</v>
      </c>
      <c r="B819" s="38" t="s">
        <v>1252</v>
      </c>
      <c r="C819" s="40" t="s">
        <v>1253</v>
      </c>
      <c r="D819" s="40" t="s">
        <v>490</v>
      </c>
      <c r="E819" s="28">
        <v>25680</v>
      </c>
      <c r="F819" s="5"/>
      <c r="G819" s="17"/>
    </row>
    <row r="820" spans="1:7" s="4" customFormat="1" ht="18.75" x14ac:dyDescent="0.25">
      <c r="A820" s="28">
        <f t="shared" si="20"/>
        <v>775</v>
      </c>
      <c r="B820" s="38" t="s">
        <v>1254</v>
      </c>
      <c r="C820" s="40" t="s">
        <v>1255</v>
      </c>
      <c r="D820" s="40" t="s">
        <v>490</v>
      </c>
      <c r="E820" s="28">
        <v>45000</v>
      </c>
      <c r="F820" s="5"/>
      <c r="G820" s="17"/>
    </row>
    <row r="821" spans="1:7" s="4" customFormat="1" ht="18.75" x14ac:dyDescent="0.25">
      <c r="A821" s="28">
        <f t="shared" si="20"/>
        <v>776</v>
      </c>
      <c r="B821" s="38" t="s">
        <v>1256</v>
      </c>
      <c r="C821" s="40" t="s">
        <v>1257</v>
      </c>
      <c r="D821" s="40" t="s">
        <v>490</v>
      </c>
      <c r="E821" s="28">
        <v>23160</v>
      </c>
      <c r="F821" s="5"/>
      <c r="G821" s="17"/>
    </row>
    <row r="822" spans="1:7" s="4" customFormat="1" ht="18.75" x14ac:dyDescent="0.25">
      <c r="A822" s="28">
        <f t="shared" si="20"/>
        <v>777</v>
      </c>
      <c r="B822" s="38" t="s">
        <v>1258</v>
      </c>
      <c r="C822" s="40" t="s">
        <v>1259</v>
      </c>
      <c r="D822" s="40" t="s">
        <v>490</v>
      </c>
      <c r="E822" s="28">
        <v>39840</v>
      </c>
      <c r="F822" s="5"/>
      <c r="G822" s="17"/>
    </row>
    <row r="823" spans="1:7" s="4" customFormat="1" ht="18.75" x14ac:dyDescent="0.25">
      <c r="A823" s="28">
        <f t="shared" si="20"/>
        <v>778</v>
      </c>
      <c r="B823" s="38" t="s">
        <v>1260</v>
      </c>
      <c r="C823" s="40" t="s">
        <v>1261</v>
      </c>
      <c r="D823" s="40" t="s">
        <v>490</v>
      </c>
      <c r="E823" s="28">
        <v>5160</v>
      </c>
      <c r="F823" s="5"/>
      <c r="G823" s="17"/>
    </row>
    <row r="824" spans="1:7" s="4" customFormat="1" ht="25.5" x14ac:dyDescent="0.25">
      <c r="A824" s="28">
        <f t="shared" si="20"/>
        <v>779</v>
      </c>
      <c r="B824" s="38" t="s">
        <v>1262</v>
      </c>
      <c r="C824" s="39" t="s">
        <v>1263</v>
      </c>
      <c r="D824" s="40" t="s">
        <v>490</v>
      </c>
      <c r="E824" s="28">
        <v>12840</v>
      </c>
      <c r="F824" s="5"/>
      <c r="G824" s="17"/>
    </row>
    <row r="825" spans="1:7" s="4" customFormat="1" ht="27.75" customHeight="1" x14ac:dyDescent="0.25">
      <c r="A825" s="28">
        <f t="shared" si="20"/>
        <v>780</v>
      </c>
      <c r="B825" s="38" t="s">
        <v>1264</v>
      </c>
      <c r="C825" s="40" t="s">
        <v>1265</v>
      </c>
      <c r="D825" s="40" t="s">
        <v>490</v>
      </c>
      <c r="E825" s="28">
        <v>20640</v>
      </c>
      <c r="F825" s="5"/>
      <c r="G825" s="17"/>
    </row>
    <row r="826" spans="1:7" s="4" customFormat="1" ht="27.75" customHeight="1" x14ac:dyDescent="0.25">
      <c r="A826" s="28">
        <f t="shared" si="20"/>
        <v>781</v>
      </c>
      <c r="B826" s="38" t="s">
        <v>1266</v>
      </c>
      <c r="C826" s="39" t="s">
        <v>1267</v>
      </c>
      <c r="D826" s="40" t="s">
        <v>490</v>
      </c>
      <c r="E826" s="28">
        <v>6480</v>
      </c>
      <c r="F826" s="5"/>
      <c r="G826" s="17"/>
    </row>
    <row r="827" spans="1:7" s="4" customFormat="1" ht="25.5" x14ac:dyDescent="0.25">
      <c r="A827" s="28">
        <f t="shared" si="20"/>
        <v>782</v>
      </c>
      <c r="B827" s="38" t="s">
        <v>1268</v>
      </c>
      <c r="C827" s="40" t="s">
        <v>1269</v>
      </c>
      <c r="D827" s="40" t="s">
        <v>490</v>
      </c>
      <c r="E827" s="28">
        <v>10320</v>
      </c>
      <c r="F827" s="5"/>
      <c r="G827" s="17"/>
    </row>
    <row r="828" spans="1:7" s="4" customFormat="1" ht="25.5" x14ac:dyDescent="0.25">
      <c r="A828" s="28">
        <f t="shared" si="20"/>
        <v>783</v>
      </c>
      <c r="B828" s="38" t="s">
        <v>1270</v>
      </c>
      <c r="C828" s="37" t="s">
        <v>1271</v>
      </c>
      <c r="D828" s="40" t="s">
        <v>490</v>
      </c>
      <c r="E828" s="28">
        <v>6480</v>
      </c>
      <c r="F828" s="5"/>
      <c r="G828" s="17"/>
    </row>
    <row r="829" spans="1:7" s="4" customFormat="1" ht="25.5" x14ac:dyDescent="0.25">
      <c r="A829" s="28">
        <f t="shared" si="20"/>
        <v>784</v>
      </c>
      <c r="B829" s="38" t="s">
        <v>1272</v>
      </c>
      <c r="C829" s="37" t="s">
        <v>1271</v>
      </c>
      <c r="D829" s="40" t="s">
        <v>490</v>
      </c>
      <c r="E829" s="28">
        <v>3960</v>
      </c>
      <c r="F829" s="5"/>
      <c r="G829" s="17"/>
    </row>
    <row r="830" spans="1:7" s="4" customFormat="1" ht="18.75" x14ac:dyDescent="0.25">
      <c r="A830" s="28">
        <f t="shared" si="20"/>
        <v>785</v>
      </c>
      <c r="B830" s="38" t="s">
        <v>1273</v>
      </c>
      <c r="C830" s="40" t="s">
        <v>1261</v>
      </c>
      <c r="D830" s="40" t="s">
        <v>490</v>
      </c>
      <c r="E830" s="28">
        <v>5160</v>
      </c>
      <c r="F830" s="5"/>
      <c r="G830" s="17"/>
    </row>
    <row r="831" spans="1:7" s="4" customFormat="1" ht="25.5" x14ac:dyDescent="0.25">
      <c r="A831" s="28">
        <f t="shared" si="20"/>
        <v>786</v>
      </c>
      <c r="B831" s="38" t="s">
        <v>1274</v>
      </c>
      <c r="C831" s="40" t="s">
        <v>1275</v>
      </c>
      <c r="D831" s="40" t="s">
        <v>490</v>
      </c>
      <c r="E831" s="28">
        <v>10320</v>
      </c>
      <c r="F831" s="5"/>
      <c r="G831" s="17"/>
    </row>
    <row r="832" spans="1:7" s="4" customFormat="1" ht="18.75" x14ac:dyDescent="0.25">
      <c r="A832" s="28">
        <f t="shared" si="20"/>
        <v>787</v>
      </c>
      <c r="B832" s="38" t="s">
        <v>1276</v>
      </c>
      <c r="C832" s="40" t="s">
        <v>1259</v>
      </c>
      <c r="D832" s="40" t="s">
        <v>352</v>
      </c>
      <c r="E832" s="28">
        <v>3960</v>
      </c>
      <c r="F832" s="5"/>
      <c r="G832" s="17"/>
    </row>
    <row r="833" spans="1:7" s="4" customFormat="1" ht="25.5" x14ac:dyDescent="0.25">
      <c r="A833" s="28">
        <f t="shared" si="20"/>
        <v>788</v>
      </c>
      <c r="B833" s="38" t="s">
        <v>1277</v>
      </c>
      <c r="C833" s="40" t="s">
        <v>1278</v>
      </c>
      <c r="D833" s="40" t="s">
        <v>352</v>
      </c>
      <c r="E833" s="28">
        <v>6480</v>
      </c>
      <c r="F833" s="5"/>
      <c r="G833" s="17"/>
    </row>
    <row r="834" spans="1:7" s="4" customFormat="1" ht="25.5" x14ac:dyDescent="0.25">
      <c r="A834" s="28">
        <f t="shared" si="20"/>
        <v>789</v>
      </c>
      <c r="B834" s="38" t="s">
        <v>1279</v>
      </c>
      <c r="C834" s="40" t="s">
        <v>1280</v>
      </c>
      <c r="D834" s="40" t="s">
        <v>490</v>
      </c>
      <c r="E834" s="28">
        <v>14880</v>
      </c>
      <c r="F834" s="5"/>
      <c r="G834" s="17"/>
    </row>
    <row r="835" spans="1:7" s="4" customFormat="1" ht="18.75" x14ac:dyDescent="0.25">
      <c r="A835" s="28">
        <f t="shared" si="20"/>
        <v>790</v>
      </c>
      <c r="B835" s="38" t="s">
        <v>1281</v>
      </c>
      <c r="C835" s="40" t="s">
        <v>1282</v>
      </c>
      <c r="D835" s="40" t="s">
        <v>490</v>
      </c>
      <c r="E835" s="28">
        <v>18000</v>
      </c>
      <c r="F835" s="5"/>
      <c r="G835" s="17"/>
    </row>
    <row r="836" spans="1:7" s="4" customFormat="1" ht="25.5" x14ac:dyDescent="0.25">
      <c r="A836" s="28">
        <f t="shared" si="20"/>
        <v>791</v>
      </c>
      <c r="B836" s="38" t="s">
        <v>1283</v>
      </c>
      <c r="C836" s="40" t="s">
        <v>1280</v>
      </c>
      <c r="D836" s="40" t="s">
        <v>490</v>
      </c>
      <c r="E836" s="28">
        <v>29640</v>
      </c>
      <c r="F836" s="5"/>
      <c r="G836" s="17"/>
    </row>
    <row r="837" spans="1:7" s="4" customFormat="1" ht="18.75" x14ac:dyDescent="0.25">
      <c r="A837" s="28">
        <f t="shared" si="20"/>
        <v>792</v>
      </c>
      <c r="B837" s="38" t="s">
        <v>1284</v>
      </c>
      <c r="C837" s="40" t="s">
        <v>1282</v>
      </c>
      <c r="D837" s="40" t="s">
        <v>490</v>
      </c>
      <c r="E837" s="28">
        <v>36000</v>
      </c>
      <c r="F837" s="5"/>
      <c r="G837" s="17"/>
    </row>
    <row r="838" spans="1:7" s="4" customFormat="1" ht="30.75" customHeight="1" x14ac:dyDescent="0.25">
      <c r="A838" s="28">
        <f t="shared" si="20"/>
        <v>793</v>
      </c>
      <c r="B838" s="46" t="s">
        <v>1285</v>
      </c>
      <c r="C838" s="40" t="s">
        <v>476</v>
      </c>
      <c r="D838" s="40" t="s">
        <v>352</v>
      </c>
      <c r="E838" s="28">
        <v>45000</v>
      </c>
      <c r="F838" s="5"/>
      <c r="G838" s="17"/>
    </row>
    <row r="839" spans="1:7" s="4" customFormat="1" ht="30.75" customHeight="1" x14ac:dyDescent="0.25">
      <c r="A839" s="28">
        <f t="shared" si="20"/>
        <v>794</v>
      </c>
      <c r="B839" s="46" t="s">
        <v>1286</v>
      </c>
      <c r="C839" s="40" t="s">
        <v>476</v>
      </c>
      <c r="D839" s="40" t="s">
        <v>352</v>
      </c>
      <c r="E839" s="28">
        <v>55320</v>
      </c>
      <c r="F839" s="5"/>
      <c r="G839" s="17"/>
    </row>
    <row r="840" spans="1:7" s="4" customFormat="1" ht="30.75" customHeight="1" x14ac:dyDescent="0.25">
      <c r="A840" s="28">
        <f t="shared" si="20"/>
        <v>795</v>
      </c>
      <c r="B840" s="46" t="s">
        <v>1287</v>
      </c>
      <c r="C840" s="40" t="s">
        <v>476</v>
      </c>
      <c r="D840" s="40" t="s">
        <v>352</v>
      </c>
      <c r="E840" s="28">
        <v>69360</v>
      </c>
      <c r="F840" s="5"/>
      <c r="G840" s="17"/>
    </row>
    <row r="841" spans="1:7" s="4" customFormat="1" ht="18.75" customHeight="1" x14ac:dyDescent="0.25">
      <c r="A841" s="139" t="s">
        <v>1288</v>
      </c>
      <c r="B841" s="140"/>
      <c r="C841" s="140"/>
      <c r="D841" s="140"/>
      <c r="E841" s="141"/>
      <c r="F841" s="5"/>
      <c r="G841" s="17"/>
    </row>
    <row r="842" spans="1:7" s="4" customFormat="1" ht="25.5" x14ac:dyDescent="0.25">
      <c r="A842" s="28">
        <f>A840+1</f>
        <v>796</v>
      </c>
      <c r="B842" s="29" t="s">
        <v>1289</v>
      </c>
      <c r="C842" s="29" t="s">
        <v>1290</v>
      </c>
      <c r="D842" s="28" t="s">
        <v>490</v>
      </c>
      <c r="E842" s="28">
        <v>38520</v>
      </c>
      <c r="F842" s="5"/>
      <c r="G842" s="17"/>
    </row>
    <row r="843" spans="1:7" s="4" customFormat="1" ht="25.5" x14ac:dyDescent="0.25">
      <c r="A843" s="28">
        <f>A842+1</f>
        <v>797</v>
      </c>
      <c r="B843" s="29" t="s">
        <v>1291</v>
      </c>
      <c r="C843" s="29" t="s">
        <v>1292</v>
      </c>
      <c r="D843" s="28" t="s">
        <v>490</v>
      </c>
      <c r="E843" s="28">
        <v>30840</v>
      </c>
      <c r="F843" s="5"/>
      <c r="G843" s="17"/>
    </row>
    <row r="844" spans="1:7" s="4" customFormat="1" ht="18.75" x14ac:dyDescent="0.25">
      <c r="A844" s="28">
        <f t="shared" ref="A844:A888" si="21">A843+1</f>
        <v>798</v>
      </c>
      <c r="B844" s="29" t="s">
        <v>1293</v>
      </c>
      <c r="C844" s="29" t="s">
        <v>474</v>
      </c>
      <c r="D844" s="28" t="s">
        <v>490</v>
      </c>
      <c r="E844" s="28">
        <v>32760</v>
      </c>
      <c r="F844" s="5"/>
      <c r="G844" s="17"/>
    </row>
    <row r="845" spans="1:7" s="4" customFormat="1" ht="18.75" x14ac:dyDescent="0.25">
      <c r="A845" s="28">
        <f t="shared" si="21"/>
        <v>799</v>
      </c>
      <c r="B845" s="53" t="s">
        <v>3214</v>
      </c>
      <c r="C845" s="53" t="s">
        <v>3215</v>
      </c>
      <c r="D845" s="28" t="s">
        <v>490</v>
      </c>
      <c r="E845" s="28">
        <v>77040</v>
      </c>
      <c r="F845" s="116"/>
      <c r="G845" s="17"/>
    </row>
    <row r="846" spans="1:7" s="4" customFormat="1" ht="18.75" x14ac:dyDescent="0.25">
      <c r="A846" s="28">
        <f t="shared" si="21"/>
        <v>800</v>
      </c>
      <c r="B846" s="29" t="s">
        <v>1294</v>
      </c>
      <c r="C846" s="29" t="s">
        <v>1295</v>
      </c>
      <c r="D846" s="28" t="s">
        <v>490</v>
      </c>
      <c r="E846" s="28">
        <v>32160</v>
      </c>
      <c r="F846" s="5"/>
      <c r="G846" s="17"/>
    </row>
    <row r="847" spans="1:7" s="4" customFormat="1" ht="18.75" x14ac:dyDescent="0.25">
      <c r="A847" s="28">
        <f t="shared" si="21"/>
        <v>801</v>
      </c>
      <c r="B847" s="29" t="s">
        <v>1296</v>
      </c>
      <c r="C847" s="29" t="s">
        <v>1297</v>
      </c>
      <c r="D847" s="28" t="s">
        <v>490</v>
      </c>
      <c r="E847" s="28">
        <v>19320</v>
      </c>
      <c r="F847" s="5"/>
      <c r="G847" s="17"/>
    </row>
    <row r="848" spans="1:7" s="4" customFormat="1" ht="18.75" x14ac:dyDescent="0.25">
      <c r="A848" s="28">
        <f t="shared" si="21"/>
        <v>802</v>
      </c>
      <c r="B848" s="29" t="s">
        <v>1298</v>
      </c>
      <c r="C848" s="29" t="s">
        <v>1299</v>
      </c>
      <c r="D848" s="28" t="s">
        <v>490</v>
      </c>
      <c r="E848" s="28">
        <v>5880</v>
      </c>
      <c r="F848" s="5"/>
      <c r="G848" s="17"/>
    </row>
    <row r="849" spans="1:11" s="4" customFormat="1" ht="38.25" x14ac:dyDescent="0.25">
      <c r="A849" s="28">
        <f t="shared" si="21"/>
        <v>803</v>
      </c>
      <c r="B849" s="29" t="s">
        <v>1300</v>
      </c>
      <c r="C849" s="29" t="s">
        <v>1301</v>
      </c>
      <c r="D849" s="28" t="s">
        <v>490</v>
      </c>
      <c r="E849" s="28">
        <v>9720</v>
      </c>
      <c r="F849" s="5"/>
      <c r="G849" s="17"/>
    </row>
    <row r="850" spans="1:11" s="4" customFormat="1" ht="21" customHeight="1" x14ac:dyDescent="0.25">
      <c r="A850" s="28">
        <f t="shared" si="21"/>
        <v>804</v>
      </c>
      <c r="B850" s="29" t="s">
        <v>1302</v>
      </c>
      <c r="C850" s="29" t="s">
        <v>1303</v>
      </c>
      <c r="D850" s="28" t="s">
        <v>490</v>
      </c>
      <c r="E850" s="28">
        <v>13560</v>
      </c>
      <c r="F850" s="5"/>
      <c r="G850" s="17"/>
    </row>
    <row r="851" spans="1:11" s="4" customFormat="1" ht="18.75" x14ac:dyDescent="0.25">
      <c r="A851" s="28">
        <f t="shared" si="21"/>
        <v>805</v>
      </c>
      <c r="B851" s="29" t="s">
        <v>1304</v>
      </c>
      <c r="C851" s="29" t="s">
        <v>1305</v>
      </c>
      <c r="D851" s="28" t="s">
        <v>490</v>
      </c>
      <c r="E851" s="28">
        <v>21840</v>
      </c>
      <c r="F851" s="5"/>
      <c r="G851" s="17"/>
      <c r="H851" s="11"/>
      <c r="I851" s="11"/>
      <c r="J851" s="11"/>
    </row>
    <row r="852" spans="1:11" s="4" customFormat="1" ht="29.25" customHeight="1" x14ac:dyDescent="0.25">
      <c r="A852" s="28">
        <f t="shared" si="21"/>
        <v>806</v>
      </c>
      <c r="B852" s="29" t="s">
        <v>1306</v>
      </c>
      <c r="C852" s="29" t="s">
        <v>1307</v>
      </c>
      <c r="D852" s="28" t="s">
        <v>490</v>
      </c>
      <c r="E852" s="28">
        <v>15480</v>
      </c>
      <c r="F852" s="5"/>
      <c r="G852" s="17"/>
    </row>
    <row r="853" spans="1:11" s="4" customFormat="1" ht="25.5" x14ac:dyDescent="0.25">
      <c r="A853" s="28">
        <f t="shared" si="21"/>
        <v>807</v>
      </c>
      <c r="B853" s="29" t="s">
        <v>1308</v>
      </c>
      <c r="C853" s="29" t="s">
        <v>1309</v>
      </c>
      <c r="D853" s="28" t="s">
        <v>490</v>
      </c>
      <c r="E853" s="28">
        <v>10320</v>
      </c>
      <c r="F853" s="5"/>
      <c r="G853" s="17"/>
    </row>
    <row r="854" spans="1:11" s="4" customFormat="1" ht="18.75" x14ac:dyDescent="0.25">
      <c r="A854" s="28">
        <f t="shared" si="21"/>
        <v>808</v>
      </c>
      <c r="B854" s="29" t="s">
        <v>1310</v>
      </c>
      <c r="C854" s="29" t="s">
        <v>1311</v>
      </c>
      <c r="D854" s="28" t="s">
        <v>490</v>
      </c>
      <c r="E854" s="28">
        <v>10320</v>
      </c>
      <c r="F854" s="5"/>
      <c r="G854" s="17"/>
    </row>
    <row r="855" spans="1:11" s="4" customFormat="1" ht="18.75" x14ac:dyDescent="0.25">
      <c r="A855" s="28">
        <f t="shared" si="21"/>
        <v>809</v>
      </c>
      <c r="B855" s="29" t="s">
        <v>1312</v>
      </c>
      <c r="C855" s="29" t="s">
        <v>1313</v>
      </c>
      <c r="D855" s="28" t="s">
        <v>490</v>
      </c>
      <c r="E855" s="28">
        <v>10320</v>
      </c>
      <c r="F855" s="5"/>
      <c r="G855" s="17"/>
    </row>
    <row r="856" spans="1:11" s="4" customFormat="1" ht="18.75" x14ac:dyDescent="0.25">
      <c r="A856" s="28">
        <f t="shared" si="21"/>
        <v>810</v>
      </c>
      <c r="B856" s="29" t="s">
        <v>1314</v>
      </c>
      <c r="C856" s="29" t="s">
        <v>368</v>
      </c>
      <c r="D856" s="28" t="s">
        <v>490</v>
      </c>
      <c r="E856" s="28">
        <v>7080</v>
      </c>
      <c r="F856" s="5"/>
      <c r="G856" s="17"/>
    </row>
    <row r="857" spans="1:11" s="4" customFormat="1" ht="18.75" x14ac:dyDescent="0.25">
      <c r="A857" s="28">
        <f t="shared" si="21"/>
        <v>811</v>
      </c>
      <c r="B857" s="29" t="s">
        <v>1315</v>
      </c>
      <c r="C857" s="29" t="s">
        <v>1316</v>
      </c>
      <c r="D857" s="28" t="s">
        <v>490</v>
      </c>
      <c r="E857" s="28">
        <v>10320</v>
      </c>
      <c r="F857" s="5"/>
      <c r="G857" s="17"/>
    </row>
    <row r="858" spans="1:11" s="4" customFormat="1" ht="18.75" x14ac:dyDescent="0.25">
      <c r="A858" s="28">
        <f t="shared" si="21"/>
        <v>812</v>
      </c>
      <c r="B858" s="29" t="s">
        <v>1317</v>
      </c>
      <c r="C858" s="29" t="s">
        <v>1318</v>
      </c>
      <c r="D858" s="28" t="s">
        <v>490</v>
      </c>
      <c r="E858" s="28">
        <v>10320</v>
      </c>
      <c r="F858" s="5"/>
      <c r="G858" s="17"/>
    </row>
    <row r="859" spans="1:11" s="4" customFormat="1" ht="18.75" x14ac:dyDescent="0.25">
      <c r="A859" s="28">
        <f t="shared" si="21"/>
        <v>813</v>
      </c>
      <c r="B859" s="29" t="s">
        <v>1319</v>
      </c>
      <c r="C859" s="29" t="s">
        <v>1320</v>
      </c>
      <c r="D859" s="28" t="s">
        <v>490</v>
      </c>
      <c r="E859" s="28">
        <v>6480</v>
      </c>
      <c r="F859" s="5"/>
      <c r="G859" s="17"/>
    </row>
    <row r="860" spans="1:11" s="4" customFormat="1" ht="18.75" x14ac:dyDescent="0.25">
      <c r="A860" s="28">
        <f t="shared" si="21"/>
        <v>814</v>
      </c>
      <c r="B860" s="29" t="s">
        <v>1321</v>
      </c>
      <c r="C860" s="29" t="s">
        <v>1322</v>
      </c>
      <c r="D860" s="28" t="s">
        <v>490</v>
      </c>
      <c r="E860" s="28">
        <v>8400</v>
      </c>
      <c r="F860" s="5"/>
      <c r="G860" s="17"/>
      <c r="K860" s="11"/>
    </row>
    <row r="861" spans="1:11" s="11" customFormat="1" ht="18.75" x14ac:dyDescent="0.25">
      <c r="A861" s="28">
        <f t="shared" si="21"/>
        <v>815</v>
      </c>
      <c r="B861" s="29" t="s">
        <v>1323</v>
      </c>
      <c r="C861" s="29" t="s">
        <v>1324</v>
      </c>
      <c r="D861" s="28" t="s">
        <v>490</v>
      </c>
      <c r="E861" s="28">
        <v>10320</v>
      </c>
      <c r="F861" s="5"/>
      <c r="G861" s="17"/>
      <c r="H861" s="4"/>
      <c r="I861" s="4"/>
      <c r="J861" s="4"/>
      <c r="K861" s="4"/>
    </row>
    <row r="862" spans="1:11" s="4" customFormat="1" ht="18.75" x14ac:dyDescent="0.25">
      <c r="A862" s="28">
        <f t="shared" si="21"/>
        <v>816</v>
      </c>
      <c r="B862" s="29" t="s">
        <v>1325</v>
      </c>
      <c r="C862" s="29" t="s">
        <v>1326</v>
      </c>
      <c r="D862" s="28" t="s">
        <v>490</v>
      </c>
      <c r="E862" s="28">
        <v>10320</v>
      </c>
      <c r="F862" s="5"/>
      <c r="G862" s="17"/>
    </row>
    <row r="863" spans="1:11" s="4" customFormat="1" ht="28.5" customHeight="1" x14ac:dyDescent="0.25">
      <c r="A863" s="28">
        <f t="shared" si="21"/>
        <v>817</v>
      </c>
      <c r="B863" s="29" t="s">
        <v>1327</v>
      </c>
      <c r="C863" s="28" t="s">
        <v>1328</v>
      </c>
      <c r="D863" s="28" t="s">
        <v>490</v>
      </c>
      <c r="E863" s="28">
        <v>12840</v>
      </c>
      <c r="F863" s="5"/>
      <c r="G863" s="17"/>
    </row>
    <row r="864" spans="1:11" s="4" customFormat="1" ht="18.75" x14ac:dyDescent="0.25">
      <c r="A864" s="28">
        <f t="shared" si="21"/>
        <v>818</v>
      </c>
      <c r="B864" s="29" t="s">
        <v>1329</v>
      </c>
      <c r="C864" s="29" t="s">
        <v>1330</v>
      </c>
      <c r="D864" s="28" t="s">
        <v>490</v>
      </c>
      <c r="E864" s="28">
        <v>10080</v>
      </c>
      <c r="F864" s="5"/>
      <c r="G864" s="17"/>
    </row>
    <row r="865" spans="1:11" s="4" customFormat="1" ht="18.75" x14ac:dyDescent="0.25">
      <c r="A865" s="28">
        <f t="shared" si="21"/>
        <v>819</v>
      </c>
      <c r="B865" s="29" t="s">
        <v>1331</v>
      </c>
      <c r="C865" s="29" t="s">
        <v>1332</v>
      </c>
      <c r="D865" s="28" t="s">
        <v>490</v>
      </c>
      <c r="E865" s="28">
        <v>10320</v>
      </c>
      <c r="F865" s="5"/>
      <c r="G865" s="17"/>
      <c r="H865" s="9"/>
      <c r="I865" s="9"/>
      <c r="J865" s="9"/>
    </row>
    <row r="866" spans="1:11" s="4" customFormat="1" ht="18.75" x14ac:dyDescent="0.25">
      <c r="A866" s="28">
        <f t="shared" si="21"/>
        <v>820</v>
      </c>
      <c r="B866" s="29" t="s">
        <v>1333</v>
      </c>
      <c r="C866" s="29" t="s">
        <v>1334</v>
      </c>
      <c r="D866" s="28" t="s">
        <v>490</v>
      </c>
      <c r="E866" s="28">
        <v>8400</v>
      </c>
      <c r="F866" s="5"/>
      <c r="G866" s="17"/>
      <c r="H866" s="9"/>
      <c r="I866" s="9"/>
      <c r="J866" s="9"/>
    </row>
    <row r="867" spans="1:11" s="4" customFormat="1" ht="18.75" x14ac:dyDescent="0.25">
      <c r="A867" s="28">
        <f t="shared" si="21"/>
        <v>821</v>
      </c>
      <c r="B867" s="29" t="s">
        <v>1335</v>
      </c>
      <c r="C867" s="29" t="s">
        <v>1336</v>
      </c>
      <c r="D867" s="28" t="s">
        <v>490</v>
      </c>
      <c r="E867" s="28">
        <v>10320</v>
      </c>
      <c r="F867" s="5"/>
      <c r="G867" s="17"/>
    </row>
    <row r="868" spans="1:11" s="4" customFormat="1" ht="18.75" x14ac:dyDescent="0.25">
      <c r="A868" s="28">
        <f t="shared" si="21"/>
        <v>822</v>
      </c>
      <c r="B868" s="29" t="s">
        <v>1337</v>
      </c>
      <c r="C868" s="29" t="s">
        <v>1338</v>
      </c>
      <c r="D868" s="28" t="s">
        <v>490</v>
      </c>
      <c r="E868" s="28">
        <v>10320</v>
      </c>
      <c r="F868" s="5"/>
      <c r="G868" s="17"/>
    </row>
    <row r="869" spans="1:11" s="4" customFormat="1" ht="18.75" x14ac:dyDescent="0.25">
      <c r="A869" s="28">
        <f t="shared" si="21"/>
        <v>823</v>
      </c>
      <c r="B869" s="29" t="s">
        <v>1339</v>
      </c>
      <c r="C869" s="29" t="s">
        <v>1340</v>
      </c>
      <c r="D869" s="28" t="s">
        <v>490</v>
      </c>
      <c r="E869" s="28">
        <v>10320</v>
      </c>
      <c r="F869" s="5"/>
      <c r="G869" s="17"/>
    </row>
    <row r="870" spans="1:11" s="4" customFormat="1" ht="25.5" x14ac:dyDescent="0.25">
      <c r="A870" s="28">
        <f t="shared" si="21"/>
        <v>824</v>
      </c>
      <c r="B870" s="29" t="s">
        <v>1341</v>
      </c>
      <c r="C870" s="40" t="s">
        <v>1342</v>
      </c>
      <c r="D870" s="40" t="s">
        <v>490</v>
      </c>
      <c r="E870" s="28">
        <v>15480</v>
      </c>
      <c r="F870" s="5"/>
      <c r="G870" s="17"/>
    </row>
    <row r="871" spans="1:11" s="4" customFormat="1" ht="18.75" x14ac:dyDescent="0.25">
      <c r="A871" s="28">
        <f t="shared" si="21"/>
        <v>825</v>
      </c>
      <c r="B871" s="29" t="s">
        <v>1343</v>
      </c>
      <c r="C871" s="29" t="s">
        <v>1344</v>
      </c>
      <c r="D871" s="28" t="s">
        <v>490</v>
      </c>
      <c r="E871" s="28">
        <v>15480</v>
      </c>
      <c r="F871" s="5"/>
      <c r="G871" s="17"/>
    </row>
    <row r="872" spans="1:11" s="4" customFormat="1" ht="18.75" x14ac:dyDescent="0.25">
      <c r="A872" s="28">
        <f t="shared" si="21"/>
        <v>826</v>
      </c>
      <c r="B872" s="29" t="s">
        <v>1345</v>
      </c>
      <c r="C872" s="29" t="s">
        <v>1346</v>
      </c>
      <c r="D872" s="28" t="s">
        <v>490</v>
      </c>
      <c r="E872" s="28">
        <v>12840</v>
      </c>
      <c r="F872" s="5"/>
      <c r="G872" s="17"/>
      <c r="H872" s="11"/>
      <c r="I872" s="11"/>
      <c r="J872" s="11"/>
    </row>
    <row r="873" spans="1:11" s="4" customFormat="1" ht="18.75" x14ac:dyDescent="0.25">
      <c r="A873" s="28">
        <f t="shared" si="21"/>
        <v>827</v>
      </c>
      <c r="B873" s="29" t="s">
        <v>1347</v>
      </c>
      <c r="C873" s="29" t="s">
        <v>1348</v>
      </c>
      <c r="D873" s="28" t="s">
        <v>490</v>
      </c>
      <c r="E873" s="28">
        <v>12840</v>
      </c>
      <c r="F873" s="5"/>
      <c r="G873" s="17"/>
      <c r="H873" s="11"/>
      <c r="I873" s="11"/>
      <c r="J873" s="11"/>
    </row>
    <row r="874" spans="1:11" s="4" customFormat="1" ht="18.75" x14ac:dyDescent="0.25">
      <c r="A874" s="28">
        <f t="shared" si="21"/>
        <v>828</v>
      </c>
      <c r="B874" s="29" t="s">
        <v>1349</v>
      </c>
      <c r="C874" s="29" t="s">
        <v>1350</v>
      </c>
      <c r="D874" s="28" t="s">
        <v>490</v>
      </c>
      <c r="E874" s="28">
        <v>12840</v>
      </c>
      <c r="F874" s="5"/>
      <c r="G874" s="17"/>
      <c r="K874" s="9"/>
    </row>
    <row r="875" spans="1:11" s="9" customFormat="1" ht="18.75" x14ac:dyDescent="0.25">
      <c r="A875" s="28">
        <f t="shared" si="21"/>
        <v>829</v>
      </c>
      <c r="B875" s="29" t="s">
        <v>1351</v>
      </c>
      <c r="C875" s="29" t="s">
        <v>1352</v>
      </c>
      <c r="D875" s="28" t="s">
        <v>490</v>
      </c>
      <c r="E875" s="28">
        <v>15480</v>
      </c>
      <c r="F875" s="5"/>
      <c r="G875" s="17"/>
    </row>
    <row r="876" spans="1:11" s="9" customFormat="1" ht="18.75" x14ac:dyDescent="0.25">
      <c r="A876" s="28">
        <f t="shared" si="21"/>
        <v>830</v>
      </c>
      <c r="B876" s="29" t="s">
        <v>1353</v>
      </c>
      <c r="C876" s="29" t="s">
        <v>1354</v>
      </c>
      <c r="D876" s="28" t="s">
        <v>490</v>
      </c>
      <c r="E876" s="28">
        <v>12840</v>
      </c>
      <c r="F876" s="5"/>
      <c r="G876" s="17"/>
      <c r="H876" s="4"/>
      <c r="I876" s="4"/>
      <c r="J876" s="4"/>
      <c r="K876" s="4"/>
    </row>
    <row r="877" spans="1:11" s="4" customFormat="1" ht="18.75" x14ac:dyDescent="0.25">
      <c r="A877" s="28">
        <f t="shared" si="21"/>
        <v>831</v>
      </c>
      <c r="B877" s="29" t="s">
        <v>1355</v>
      </c>
      <c r="C877" s="29" t="s">
        <v>1356</v>
      </c>
      <c r="D877" s="28" t="s">
        <v>490</v>
      </c>
      <c r="E877" s="28">
        <v>12840</v>
      </c>
      <c r="F877" s="5"/>
      <c r="G877" s="17"/>
    </row>
    <row r="878" spans="1:11" s="4" customFormat="1" ht="18.75" x14ac:dyDescent="0.25">
      <c r="A878" s="28">
        <f t="shared" si="21"/>
        <v>832</v>
      </c>
      <c r="B878" s="29" t="s">
        <v>1357</v>
      </c>
      <c r="C878" s="29" t="s">
        <v>1358</v>
      </c>
      <c r="D878" s="28" t="s">
        <v>490</v>
      </c>
      <c r="E878" s="28">
        <v>15480</v>
      </c>
      <c r="F878" s="5"/>
      <c r="G878" s="17"/>
      <c r="H878" s="9"/>
      <c r="I878" s="9"/>
      <c r="J878" s="9"/>
    </row>
    <row r="879" spans="1:11" s="4" customFormat="1" ht="18.75" x14ac:dyDescent="0.25">
      <c r="A879" s="28">
        <f t="shared" si="21"/>
        <v>833</v>
      </c>
      <c r="B879" s="29" t="s">
        <v>1359</v>
      </c>
      <c r="C879" s="29" t="s">
        <v>1360</v>
      </c>
      <c r="D879" s="28" t="s">
        <v>490</v>
      </c>
      <c r="E879" s="28">
        <v>10320</v>
      </c>
      <c r="F879" s="5"/>
      <c r="G879" s="17"/>
    </row>
    <row r="880" spans="1:11" s="4" customFormat="1" ht="25.5" x14ac:dyDescent="0.25">
      <c r="A880" s="28">
        <f t="shared" si="21"/>
        <v>834</v>
      </c>
      <c r="B880" s="29" t="s">
        <v>1361</v>
      </c>
      <c r="C880" s="29" t="s">
        <v>1362</v>
      </c>
      <c r="D880" s="28" t="s">
        <v>490</v>
      </c>
      <c r="E880" s="28">
        <v>4560</v>
      </c>
      <c r="F880" s="5"/>
      <c r="G880" s="17"/>
    </row>
    <row r="881" spans="1:11" s="4" customFormat="1" ht="25.5" x14ac:dyDescent="0.25">
      <c r="A881" s="28">
        <f t="shared" si="21"/>
        <v>835</v>
      </c>
      <c r="B881" s="29" t="s">
        <v>1363</v>
      </c>
      <c r="C881" s="29" t="s">
        <v>1364</v>
      </c>
      <c r="D881" s="28" t="s">
        <v>490</v>
      </c>
      <c r="E881" s="28">
        <v>3960</v>
      </c>
      <c r="F881" s="5"/>
      <c r="G881" s="17"/>
      <c r="K881" s="11"/>
    </row>
    <row r="882" spans="1:11" s="11" customFormat="1" ht="27" customHeight="1" x14ac:dyDescent="0.25">
      <c r="A882" s="28">
        <f t="shared" si="21"/>
        <v>836</v>
      </c>
      <c r="B882" s="29" t="s">
        <v>1365</v>
      </c>
      <c r="C882" s="29" t="s">
        <v>1366</v>
      </c>
      <c r="D882" s="28" t="s">
        <v>490</v>
      </c>
      <c r="E882" s="28">
        <v>2520</v>
      </c>
      <c r="F882" s="5"/>
      <c r="G882" s="17"/>
      <c r="H882" s="4"/>
      <c r="I882" s="4"/>
      <c r="J882" s="4"/>
    </row>
    <row r="883" spans="1:11" s="11" customFormat="1" ht="27" customHeight="1" x14ac:dyDescent="0.25">
      <c r="A883" s="28">
        <f t="shared" si="21"/>
        <v>837</v>
      </c>
      <c r="B883" s="29" t="s">
        <v>1367</v>
      </c>
      <c r="C883" s="29" t="s">
        <v>1368</v>
      </c>
      <c r="D883" s="28" t="s">
        <v>490</v>
      </c>
      <c r="E883" s="28">
        <v>12840</v>
      </c>
      <c r="F883" s="5"/>
      <c r="G883" s="17"/>
      <c r="H883" s="4"/>
      <c r="I883" s="4"/>
      <c r="J883" s="4"/>
      <c r="K883" s="4"/>
    </row>
    <row r="884" spans="1:11" s="4" customFormat="1" ht="18.75" x14ac:dyDescent="0.25">
      <c r="A884" s="28">
        <f t="shared" si="21"/>
        <v>838</v>
      </c>
      <c r="B884" s="29" t="s">
        <v>1369</v>
      </c>
      <c r="C884" s="29" t="s">
        <v>1370</v>
      </c>
      <c r="D884" s="28" t="s">
        <v>490</v>
      </c>
      <c r="E884" s="28">
        <v>12240</v>
      </c>
      <c r="F884" s="5"/>
      <c r="G884" s="17"/>
      <c r="K884" s="9"/>
    </row>
    <row r="885" spans="1:11" s="9" customFormat="1" ht="18.75" x14ac:dyDescent="0.25">
      <c r="A885" s="28">
        <f t="shared" si="21"/>
        <v>839</v>
      </c>
      <c r="B885" s="29" t="s">
        <v>1371</v>
      </c>
      <c r="C885" s="29" t="s">
        <v>1372</v>
      </c>
      <c r="D885" s="28" t="s">
        <v>490</v>
      </c>
      <c r="E885" s="28">
        <v>12840</v>
      </c>
      <c r="F885" s="5"/>
      <c r="G885" s="17"/>
      <c r="H885" s="4"/>
      <c r="I885" s="4"/>
      <c r="J885" s="4"/>
      <c r="K885" s="4"/>
    </row>
    <row r="886" spans="1:11" s="4" customFormat="1" ht="18.75" x14ac:dyDescent="0.25">
      <c r="A886" s="28">
        <f t="shared" si="21"/>
        <v>840</v>
      </c>
      <c r="B886" s="29" t="s">
        <v>1373</v>
      </c>
      <c r="C886" s="29" t="s">
        <v>1374</v>
      </c>
      <c r="D886" s="28" t="s">
        <v>490</v>
      </c>
      <c r="E886" s="28">
        <v>12840</v>
      </c>
      <c r="F886" s="5"/>
      <c r="G886" s="17"/>
    </row>
    <row r="887" spans="1:11" s="4" customFormat="1" ht="18.75" x14ac:dyDescent="0.25">
      <c r="A887" s="28">
        <f t="shared" si="21"/>
        <v>841</v>
      </c>
      <c r="B887" s="29" t="s">
        <v>1375</v>
      </c>
      <c r="C887" s="29" t="s">
        <v>1376</v>
      </c>
      <c r="D887" s="28" t="s">
        <v>490</v>
      </c>
      <c r="E887" s="28">
        <v>15480</v>
      </c>
      <c r="F887" s="5"/>
      <c r="G887" s="17"/>
      <c r="K887" s="9"/>
    </row>
    <row r="888" spans="1:11" s="9" customFormat="1" ht="18.75" x14ac:dyDescent="0.25">
      <c r="A888" s="28">
        <f t="shared" si="21"/>
        <v>842</v>
      </c>
      <c r="B888" s="29" t="s">
        <v>1377</v>
      </c>
      <c r="C888" s="29" t="s">
        <v>1378</v>
      </c>
      <c r="D888" s="28" t="s">
        <v>490</v>
      </c>
      <c r="E888" s="28">
        <v>15480</v>
      </c>
      <c r="F888" s="5"/>
      <c r="G888" s="17"/>
      <c r="H888" s="4"/>
      <c r="I888" s="4"/>
      <c r="J888" s="4"/>
      <c r="K888" s="4"/>
    </row>
    <row r="889" spans="1:11" s="4" customFormat="1" ht="18.75" customHeight="1" x14ac:dyDescent="0.25">
      <c r="A889" s="139" t="s">
        <v>1379</v>
      </c>
      <c r="B889" s="140"/>
      <c r="C889" s="140"/>
      <c r="D889" s="140"/>
      <c r="E889" s="141"/>
      <c r="F889" s="5"/>
      <c r="G889" s="17"/>
    </row>
    <row r="890" spans="1:11" s="4" customFormat="1" ht="18.75" customHeight="1" x14ac:dyDescent="0.25">
      <c r="A890" s="136" t="s">
        <v>1380</v>
      </c>
      <c r="B890" s="137"/>
      <c r="C890" s="137"/>
      <c r="D890" s="137"/>
      <c r="E890" s="138"/>
      <c r="F890" s="5"/>
      <c r="G890" s="17"/>
    </row>
    <row r="891" spans="1:11" s="4" customFormat="1" ht="18.75" customHeight="1" x14ac:dyDescent="0.25">
      <c r="A891" s="136" t="s">
        <v>1381</v>
      </c>
      <c r="B891" s="137"/>
      <c r="C891" s="137"/>
      <c r="D891" s="137"/>
      <c r="E891" s="138"/>
      <c r="F891" s="5"/>
      <c r="G891" s="17"/>
    </row>
    <row r="892" spans="1:11" s="4" customFormat="1" ht="25.5" x14ac:dyDescent="0.25">
      <c r="A892" s="28">
        <f>A888+1</f>
        <v>843</v>
      </c>
      <c r="B892" s="33" t="s">
        <v>1382</v>
      </c>
      <c r="C892" s="29" t="s">
        <v>1383</v>
      </c>
      <c r="D892" s="28" t="s">
        <v>1384</v>
      </c>
      <c r="E892" s="28">
        <v>6000</v>
      </c>
      <c r="F892" s="5"/>
      <c r="G892" s="17"/>
    </row>
    <row r="893" spans="1:11" s="4" customFormat="1" ht="25.5" x14ac:dyDescent="0.25">
      <c r="A893" s="28">
        <f>A892+1</f>
        <v>844</v>
      </c>
      <c r="B893" s="33" t="s">
        <v>1385</v>
      </c>
      <c r="C893" s="29" t="s">
        <v>1386</v>
      </c>
      <c r="D893" s="28" t="s">
        <v>1384</v>
      </c>
      <c r="E893" s="28">
        <v>7560</v>
      </c>
      <c r="F893" s="5"/>
      <c r="G893" s="17"/>
    </row>
    <row r="894" spans="1:11" s="4" customFormat="1" ht="25.5" x14ac:dyDescent="0.25">
      <c r="A894" s="28">
        <f t="shared" ref="A894:A912" si="22">A893+1</f>
        <v>845</v>
      </c>
      <c r="B894" s="33" t="s">
        <v>1387</v>
      </c>
      <c r="C894" s="29" t="s">
        <v>1388</v>
      </c>
      <c r="D894" s="28" t="s">
        <v>1384</v>
      </c>
      <c r="E894" s="28">
        <v>5280</v>
      </c>
      <c r="F894" s="5"/>
      <c r="G894" s="17"/>
    </row>
    <row r="895" spans="1:11" s="4" customFormat="1" ht="25.5" x14ac:dyDescent="0.25">
      <c r="A895" s="28">
        <f t="shared" si="22"/>
        <v>846</v>
      </c>
      <c r="B895" s="33" t="s">
        <v>1389</v>
      </c>
      <c r="C895" s="29" t="s">
        <v>1390</v>
      </c>
      <c r="D895" s="28" t="s">
        <v>1384</v>
      </c>
      <c r="E895" s="28">
        <v>33720</v>
      </c>
      <c r="F895" s="5"/>
      <c r="G895" s="17"/>
    </row>
    <row r="896" spans="1:11" s="4" customFormat="1" ht="25.5" x14ac:dyDescent="0.25">
      <c r="A896" s="28">
        <f t="shared" si="22"/>
        <v>847</v>
      </c>
      <c r="B896" s="33" t="s">
        <v>1391</v>
      </c>
      <c r="C896" s="29" t="s">
        <v>1392</v>
      </c>
      <c r="D896" s="28" t="s">
        <v>1384</v>
      </c>
      <c r="E896" s="28">
        <v>6840</v>
      </c>
      <c r="F896" s="5"/>
      <c r="G896" s="17"/>
    </row>
    <row r="897" spans="1:7" s="4" customFormat="1" ht="25.5" x14ac:dyDescent="0.25">
      <c r="A897" s="28">
        <f t="shared" si="22"/>
        <v>848</v>
      </c>
      <c r="B897" s="33" t="s">
        <v>1393</v>
      </c>
      <c r="C897" s="29" t="s">
        <v>1394</v>
      </c>
      <c r="D897" s="28" t="s">
        <v>1384</v>
      </c>
      <c r="E897" s="28">
        <v>9000</v>
      </c>
      <c r="F897" s="5"/>
      <c r="G897" s="17"/>
    </row>
    <row r="898" spans="1:7" s="4" customFormat="1" ht="18.75" x14ac:dyDescent="0.25">
      <c r="A898" s="28">
        <f t="shared" si="22"/>
        <v>849</v>
      </c>
      <c r="B898" s="33" t="s">
        <v>1395</v>
      </c>
      <c r="C898" s="29" t="s">
        <v>1396</v>
      </c>
      <c r="D898" s="28" t="s">
        <v>1384</v>
      </c>
      <c r="E898" s="28">
        <v>5160</v>
      </c>
      <c r="F898" s="5"/>
      <c r="G898" s="17"/>
    </row>
    <row r="899" spans="1:7" s="4" customFormat="1" ht="39.75" customHeight="1" x14ac:dyDescent="0.25">
      <c r="A899" s="28">
        <f t="shared" si="22"/>
        <v>850</v>
      </c>
      <c r="B899" s="33" t="s">
        <v>1397</v>
      </c>
      <c r="C899" s="29" t="s">
        <v>1398</v>
      </c>
      <c r="D899" s="28" t="s">
        <v>1384</v>
      </c>
      <c r="E899" s="28">
        <v>5160</v>
      </c>
      <c r="F899" s="5"/>
      <c r="G899" s="17"/>
    </row>
    <row r="900" spans="1:7" s="4" customFormat="1" ht="32.25" customHeight="1" x14ac:dyDescent="0.25">
      <c r="A900" s="28">
        <f t="shared" si="22"/>
        <v>851</v>
      </c>
      <c r="B900" s="33" t="s">
        <v>1399</v>
      </c>
      <c r="C900" s="29" t="s">
        <v>1400</v>
      </c>
      <c r="D900" s="28" t="s">
        <v>1384</v>
      </c>
      <c r="E900" s="28">
        <v>4920</v>
      </c>
      <c r="F900" s="5"/>
      <c r="G900" s="17"/>
    </row>
    <row r="901" spans="1:7" s="4" customFormat="1" ht="45.75" customHeight="1" x14ac:dyDescent="0.25">
      <c r="A901" s="28">
        <f t="shared" si="22"/>
        <v>852</v>
      </c>
      <c r="B901" s="33" t="s">
        <v>1401</v>
      </c>
      <c r="C901" s="29" t="s">
        <v>1402</v>
      </c>
      <c r="D901" s="28" t="s">
        <v>1384</v>
      </c>
      <c r="E901" s="28">
        <v>3360</v>
      </c>
      <c r="F901" s="5"/>
      <c r="G901" s="17"/>
    </row>
    <row r="902" spans="1:7" s="4" customFormat="1" ht="38.25" x14ac:dyDescent="0.25">
      <c r="A902" s="28">
        <f t="shared" si="22"/>
        <v>853</v>
      </c>
      <c r="B902" s="33" t="s">
        <v>1403</v>
      </c>
      <c r="C902" s="29" t="s">
        <v>1404</v>
      </c>
      <c r="D902" s="28" t="s">
        <v>1384</v>
      </c>
      <c r="E902" s="28">
        <v>3360</v>
      </c>
      <c r="F902" s="5"/>
      <c r="G902" s="17"/>
    </row>
    <row r="903" spans="1:7" s="4" customFormat="1" ht="34.5" customHeight="1" x14ac:dyDescent="0.25">
      <c r="A903" s="28">
        <f t="shared" si="22"/>
        <v>854</v>
      </c>
      <c r="B903" s="33" t="s">
        <v>1405</v>
      </c>
      <c r="C903" s="29" t="s">
        <v>1406</v>
      </c>
      <c r="D903" s="28" t="s">
        <v>1384</v>
      </c>
      <c r="E903" s="28">
        <v>3600</v>
      </c>
      <c r="F903" s="5"/>
      <c r="G903" s="17"/>
    </row>
    <row r="904" spans="1:7" s="4" customFormat="1" ht="34.5" customHeight="1" x14ac:dyDescent="0.25">
      <c r="A904" s="28">
        <f t="shared" si="22"/>
        <v>855</v>
      </c>
      <c r="B904" s="33" t="s">
        <v>1407</v>
      </c>
      <c r="C904" s="29" t="s">
        <v>1408</v>
      </c>
      <c r="D904" s="28" t="s">
        <v>1384</v>
      </c>
      <c r="E904" s="28">
        <v>14160</v>
      </c>
      <c r="F904" s="5"/>
      <c r="G904" s="17"/>
    </row>
    <row r="905" spans="1:7" s="4" customFormat="1" ht="39.75" customHeight="1" x14ac:dyDescent="0.25">
      <c r="A905" s="28">
        <f t="shared" si="22"/>
        <v>856</v>
      </c>
      <c r="B905" s="33" t="s">
        <v>1409</v>
      </c>
      <c r="C905" s="29" t="s">
        <v>1410</v>
      </c>
      <c r="D905" s="28" t="s">
        <v>1384</v>
      </c>
      <c r="E905" s="28">
        <v>4320</v>
      </c>
      <c r="F905" s="5"/>
      <c r="G905" s="17"/>
    </row>
    <row r="906" spans="1:7" s="4" customFormat="1" ht="45" customHeight="1" x14ac:dyDescent="0.25">
      <c r="A906" s="28">
        <f t="shared" si="22"/>
        <v>857</v>
      </c>
      <c r="B906" s="33" t="s">
        <v>1411</v>
      </c>
      <c r="C906" s="29" t="s">
        <v>1412</v>
      </c>
      <c r="D906" s="28" t="s">
        <v>1384</v>
      </c>
      <c r="E906" s="28">
        <v>6720</v>
      </c>
      <c r="F906" s="5"/>
      <c r="G906" s="17"/>
    </row>
    <row r="907" spans="1:7" s="4" customFormat="1" ht="38.25" x14ac:dyDescent="0.25">
      <c r="A907" s="28">
        <f t="shared" si="22"/>
        <v>858</v>
      </c>
      <c r="B907" s="33" t="s">
        <v>1413</v>
      </c>
      <c r="C907" s="29" t="s">
        <v>1414</v>
      </c>
      <c r="D907" s="28" t="s">
        <v>1384</v>
      </c>
      <c r="E907" s="28">
        <v>6720</v>
      </c>
      <c r="F907" s="5"/>
      <c r="G907" s="17"/>
    </row>
    <row r="908" spans="1:7" s="4" customFormat="1" ht="38.25" x14ac:dyDescent="0.25">
      <c r="A908" s="28">
        <f t="shared" si="22"/>
        <v>859</v>
      </c>
      <c r="B908" s="33" t="s">
        <v>1415</v>
      </c>
      <c r="C908" s="29" t="s">
        <v>1416</v>
      </c>
      <c r="D908" s="28" t="s">
        <v>1384</v>
      </c>
      <c r="E908" s="28">
        <v>12840</v>
      </c>
      <c r="F908" s="5"/>
      <c r="G908" s="17"/>
    </row>
    <row r="909" spans="1:7" s="4" customFormat="1" ht="25.5" x14ac:dyDescent="0.25">
      <c r="A909" s="28">
        <f t="shared" si="22"/>
        <v>860</v>
      </c>
      <c r="B909" s="33" t="s">
        <v>1417</v>
      </c>
      <c r="C909" s="29" t="s">
        <v>1418</v>
      </c>
      <c r="D909" s="28" t="s">
        <v>490</v>
      </c>
      <c r="E909" s="28">
        <v>3840</v>
      </c>
      <c r="F909" s="5"/>
      <c r="G909" s="17"/>
    </row>
    <row r="910" spans="1:7" s="4" customFormat="1" ht="25.5" x14ac:dyDescent="0.25">
      <c r="A910" s="28">
        <f t="shared" si="22"/>
        <v>861</v>
      </c>
      <c r="B910" s="49" t="s">
        <v>1419</v>
      </c>
      <c r="C910" s="56" t="s">
        <v>1420</v>
      </c>
      <c r="D910" s="40" t="s">
        <v>1384</v>
      </c>
      <c r="E910" s="28">
        <v>4560</v>
      </c>
      <c r="F910" s="5"/>
      <c r="G910" s="17"/>
    </row>
    <row r="911" spans="1:7" s="4" customFormat="1" ht="18.75" x14ac:dyDescent="0.25">
      <c r="A911" s="28">
        <f t="shared" si="22"/>
        <v>862</v>
      </c>
      <c r="B911" s="57" t="s">
        <v>1421</v>
      </c>
      <c r="C911" s="58"/>
      <c r="D911" s="40" t="s">
        <v>1384</v>
      </c>
      <c r="E911" s="28">
        <v>21840</v>
      </c>
      <c r="F911" s="5"/>
      <c r="G911" s="17"/>
    </row>
    <row r="912" spans="1:7" s="4" customFormat="1" ht="18.75" x14ac:dyDescent="0.25">
      <c r="A912" s="28">
        <f t="shared" si="22"/>
        <v>863</v>
      </c>
      <c r="B912" s="57" t="s">
        <v>1422</v>
      </c>
      <c r="C912" s="58"/>
      <c r="D912" s="40" t="s">
        <v>1384</v>
      </c>
      <c r="E912" s="28">
        <v>27000</v>
      </c>
      <c r="F912" s="5"/>
      <c r="G912" s="17"/>
    </row>
    <row r="913" spans="1:7" s="4" customFormat="1" ht="18.75" customHeight="1" x14ac:dyDescent="0.25">
      <c r="A913" s="136" t="s">
        <v>1423</v>
      </c>
      <c r="B913" s="137"/>
      <c r="C913" s="137"/>
      <c r="D913" s="137"/>
      <c r="E913" s="138"/>
      <c r="F913" s="5"/>
      <c r="G913" s="17"/>
    </row>
    <row r="914" spans="1:7" s="4" customFormat="1" ht="51" x14ac:dyDescent="0.25">
      <c r="A914" s="28">
        <f>A912+1</f>
        <v>864</v>
      </c>
      <c r="B914" s="33" t="s">
        <v>1424</v>
      </c>
      <c r="C914" s="33" t="s">
        <v>1425</v>
      </c>
      <c r="D914" s="28" t="s">
        <v>1384</v>
      </c>
      <c r="E914" s="28">
        <v>41760</v>
      </c>
      <c r="F914" s="5"/>
      <c r="G914" s="17"/>
    </row>
    <row r="915" spans="1:7" s="4" customFormat="1" ht="25.5" x14ac:dyDescent="0.25">
      <c r="A915" s="28">
        <f>A914+1</f>
        <v>865</v>
      </c>
      <c r="B915" s="33" t="s">
        <v>1426</v>
      </c>
      <c r="C915" s="33" t="s">
        <v>1427</v>
      </c>
      <c r="D915" s="28" t="s">
        <v>1384</v>
      </c>
      <c r="E915" s="28">
        <v>32760</v>
      </c>
      <c r="F915" s="5"/>
      <c r="G915" s="17"/>
    </row>
    <row r="916" spans="1:7" s="4" customFormat="1" ht="38.25" x14ac:dyDescent="0.25">
      <c r="A916" s="28">
        <f>A915+1</f>
        <v>866</v>
      </c>
      <c r="B916" s="33" t="s">
        <v>1428</v>
      </c>
      <c r="C916" s="33" t="s">
        <v>1429</v>
      </c>
      <c r="D916" s="28" t="s">
        <v>1384</v>
      </c>
      <c r="E916" s="28">
        <v>28920</v>
      </c>
      <c r="F916" s="5"/>
      <c r="G916" s="17"/>
    </row>
    <row r="917" spans="1:7" s="4" customFormat="1" ht="25.5" x14ac:dyDescent="0.25">
      <c r="A917" s="28">
        <f>A916+1</f>
        <v>867</v>
      </c>
      <c r="B917" s="33" t="s">
        <v>1430</v>
      </c>
      <c r="C917" s="33" t="s">
        <v>1431</v>
      </c>
      <c r="D917" s="28" t="s">
        <v>1384</v>
      </c>
      <c r="E917" s="28">
        <v>18720</v>
      </c>
      <c r="F917" s="5"/>
      <c r="G917" s="17"/>
    </row>
    <row r="918" spans="1:7" s="4" customFormat="1" ht="18.75" customHeight="1" x14ac:dyDescent="0.25">
      <c r="A918" s="136" t="s">
        <v>1432</v>
      </c>
      <c r="B918" s="137"/>
      <c r="C918" s="137"/>
      <c r="D918" s="137"/>
      <c r="E918" s="138"/>
      <c r="F918" s="5"/>
      <c r="G918" s="17"/>
    </row>
    <row r="919" spans="1:7" s="4" customFormat="1" ht="25.5" x14ac:dyDescent="0.25">
      <c r="A919" s="28">
        <f>A917+1</f>
        <v>868</v>
      </c>
      <c r="B919" s="33" t="s">
        <v>1433</v>
      </c>
      <c r="C919" s="33" t="s">
        <v>1434</v>
      </c>
      <c r="D919" s="28" t="s">
        <v>1384</v>
      </c>
      <c r="E919" s="28">
        <v>9000</v>
      </c>
      <c r="F919" s="5"/>
      <c r="G919" s="17"/>
    </row>
    <row r="920" spans="1:7" s="4" customFormat="1" ht="31.5" customHeight="1" x14ac:dyDescent="0.25">
      <c r="A920" s="28">
        <f>A919+1</f>
        <v>869</v>
      </c>
      <c r="B920" s="33" t="s">
        <v>1435</v>
      </c>
      <c r="C920" s="33" t="s">
        <v>1436</v>
      </c>
      <c r="D920" s="28" t="s">
        <v>1384</v>
      </c>
      <c r="E920" s="28">
        <v>2880</v>
      </c>
      <c r="F920" s="5"/>
      <c r="G920" s="17"/>
    </row>
    <row r="921" spans="1:7" s="4" customFormat="1" ht="31.5" customHeight="1" x14ac:dyDescent="0.25">
      <c r="A921" s="28">
        <f t="shared" ref="A921:A984" si="23">A920+1</f>
        <v>870</v>
      </c>
      <c r="B921" s="33" t="s">
        <v>1437</v>
      </c>
      <c r="C921" s="33" t="s">
        <v>1438</v>
      </c>
      <c r="D921" s="28" t="s">
        <v>1384</v>
      </c>
      <c r="E921" s="28">
        <v>2880</v>
      </c>
      <c r="F921" s="5"/>
      <c r="G921" s="17"/>
    </row>
    <row r="922" spans="1:7" s="4" customFormat="1" ht="31.5" customHeight="1" x14ac:dyDescent="0.25">
      <c r="A922" s="28">
        <f t="shared" si="23"/>
        <v>871</v>
      </c>
      <c r="B922" s="33" t="s">
        <v>1439</v>
      </c>
      <c r="C922" s="33" t="s">
        <v>1440</v>
      </c>
      <c r="D922" s="28" t="s">
        <v>1384</v>
      </c>
      <c r="E922" s="28">
        <v>2880</v>
      </c>
      <c r="F922" s="5"/>
      <c r="G922" s="17"/>
    </row>
    <row r="923" spans="1:7" s="4" customFormat="1" ht="31.5" customHeight="1" x14ac:dyDescent="0.25">
      <c r="A923" s="28">
        <f t="shared" si="23"/>
        <v>872</v>
      </c>
      <c r="B923" s="33" t="s">
        <v>1441</v>
      </c>
      <c r="C923" s="33" t="s">
        <v>1442</v>
      </c>
      <c r="D923" s="28" t="s">
        <v>1384</v>
      </c>
      <c r="E923" s="28">
        <v>3360</v>
      </c>
      <c r="F923" s="5"/>
      <c r="G923" s="17"/>
    </row>
    <row r="924" spans="1:7" s="4" customFormat="1" ht="31.5" customHeight="1" x14ac:dyDescent="0.25">
      <c r="A924" s="28">
        <f t="shared" si="23"/>
        <v>873</v>
      </c>
      <c r="B924" s="33" t="s">
        <v>1443</v>
      </c>
      <c r="C924" s="33" t="s">
        <v>1444</v>
      </c>
      <c r="D924" s="28" t="s">
        <v>1384</v>
      </c>
      <c r="E924" s="28">
        <v>3120</v>
      </c>
      <c r="F924" s="5"/>
      <c r="G924" s="17"/>
    </row>
    <row r="925" spans="1:7" s="4" customFormat="1" ht="31.5" customHeight="1" x14ac:dyDescent="0.25">
      <c r="A925" s="28">
        <f t="shared" si="23"/>
        <v>874</v>
      </c>
      <c r="B925" s="33" t="s">
        <v>1445</v>
      </c>
      <c r="C925" s="33" t="s">
        <v>1446</v>
      </c>
      <c r="D925" s="28" t="s">
        <v>1384</v>
      </c>
      <c r="E925" s="28">
        <v>2880</v>
      </c>
      <c r="F925" s="5"/>
      <c r="G925" s="17"/>
    </row>
    <row r="926" spans="1:7" s="4" customFormat="1" ht="31.5" customHeight="1" x14ac:dyDescent="0.25">
      <c r="A926" s="28">
        <f t="shared" si="23"/>
        <v>875</v>
      </c>
      <c r="B926" s="33" t="s">
        <v>1447</v>
      </c>
      <c r="C926" s="33" t="s">
        <v>1448</v>
      </c>
      <c r="D926" s="28" t="s">
        <v>1384</v>
      </c>
      <c r="E926" s="28">
        <v>3120</v>
      </c>
      <c r="F926" s="5"/>
      <c r="G926" s="17"/>
    </row>
    <row r="927" spans="1:7" s="4" customFormat="1" ht="33" customHeight="1" x14ac:dyDescent="0.25">
      <c r="A927" s="28">
        <f t="shared" si="23"/>
        <v>876</v>
      </c>
      <c r="B927" s="33" t="s">
        <v>1449</v>
      </c>
      <c r="C927" s="33" t="s">
        <v>1450</v>
      </c>
      <c r="D927" s="28" t="s">
        <v>1384</v>
      </c>
      <c r="E927" s="28">
        <v>3000</v>
      </c>
      <c r="F927" s="5"/>
      <c r="G927" s="17"/>
    </row>
    <row r="928" spans="1:7" s="4" customFormat="1" ht="25.5" x14ac:dyDescent="0.25">
      <c r="A928" s="28">
        <f t="shared" si="23"/>
        <v>877</v>
      </c>
      <c r="B928" s="33" t="s">
        <v>1451</v>
      </c>
      <c r="C928" s="33" t="s">
        <v>1452</v>
      </c>
      <c r="D928" s="28" t="s">
        <v>1384</v>
      </c>
      <c r="E928" s="28">
        <v>3240</v>
      </c>
      <c r="F928" s="5"/>
      <c r="G928" s="17"/>
    </row>
    <row r="929" spans="1:7" s="4" customFormat="1" ht="25.5" x14ac:dyDescent="0.25">
      <c r="A929" s="28">
        <f t="shared" si="23"/>
        <v>878</v>
      </c>
      <c r="B929" s="33" t="s">
        <v>1453</v>
      </c>
      <c r="C929" s="33" t="s">
        <v>1454</v>
      </c>
      <c r="D929" s="28" t="s">
        <v>1384</v>
      </c>
      <c r="E929" s="28">
        <v>3120</v>
      </c>
      <c r="F929" s="5"/>
      <c r="G929" s="17"/>
    </row>
    <row r="930" spans="1:7" s="4" customFormat="1" ht="25.5" x14ac:dyDescent="0.25">
      <c r="A930" s="28">
        <f t="shared" si="23"/>
        <v>879</v>
      </c>
      <c r="B930" s="33" t="s">
        <v>1455</v>
      </c>
      <c r="C930" s="33" t="s">
        <v>1456</v>
      </c>
      <c r="D930" s="28" t="s">
        <v>1384</v>
      </c>
      <c r="E930" s="28">
        <v>5640</v>
      </c>
      <c r="F930" s="5"/>
      <c r="G930" s="17"/>
    </row>
    <row r="931" spans="1:7" s="4" customFormat="1" ht="25.5" x14ac:dyDescent="0.25">
      <c r="A931" s="28">
        <f t="shared" si="23"/>
        <v>880</v>
      </c>
      <c r="B931" s="33" t="s">
        <v>1457</v>
      </c>
      <c r="C931" s="33" t="s">
        <v>1458</v>
      </c>
      <c r="D931" s="28" t="s">
        <v>1384</v>
      </c>
      <c r="E931" s="28">
        <v>6720</v>
      </c>
      <c r="F931" s="5"/>
      <c r="G931" s="17"/>
    </row>
    <row r="932" spans="1:7" s="4" customFormat="1" ht="25.5" x14ac:dyDescent="0.25">
      <c r="A932" s="28">
        <f t="shared" si="23"/>
        <v>881</v>
      </c>
      <c r="B932" s="33" t="s">
        <v>1459</v>
      </c>
      <c r="C932" s="33" t="s">
        <v>1460</v>
      </c>
      <c r="D932" s="28" t="s">
        <v>1384</v>
      </c>
      <c r="E932" s="28">
        <v>3360</v>
      </c>
      <c r="F932" s="5"/>
      <c r="G932" s="17"/>
    </row>
    <row r="933" spans="1:7" s="4" customFormat="1" ht="25.5" x14ac:dyDescent="0.25">
      <c r="A933" s="28">
        <f t="shared" si="23"/>
        <v>882</v>
      </c>
      <c r="B933" s="33" t="s">
        <v>1461</v>
      </c>
      <c r="C933" s="33" t="s">
        <v>1462</v>
      </c>
      <c r="D933" s="28" t="s">
        <v>1384</v>
      </c>
      <c r="E933" s="28">
        <v>3360</v>
      </c>
      <c r="F933" s="5"/>
      <c r="G933" s="17"/>
    </row>
    <row r="934" spans="1:7" s="4" customFormat="1" ht="34.5" customHeight="1" x14ac:dyDescent="0.25">
      <c r="A934" s="28">
        <f t="shared" si="23"/>
        <v>883</v>
      </c>
      <c r="B934" s="33" t="s">
        <v>1463</v>
      </c>
      <c r="C934" s="33" t="s">
        <v>1464</v>
      </c>
      <c r="D934" s="28" t="s">
        <v>1384</v>
      </c>
      <c r="E934" s="28">
        <v>3480</v>
      </c>
      <c r="F934" s="5"/>
      <c r="G934" s="17"/>
    </row>
    <row r="935" spans="1:7" s="4" customFormat="1" ht="34.5" customHeight="1" x14ac:dyDescent="0.25">
      <c r="A935" s="28">
        <f t="shared" si="23"/>
        <v>884</v>
      </c>
      <c r="B935" s="33" t="s">
        <v>1465</v>
      </c>
      <c r="C935" s="33" t="s">
        <v>1466</v>
      </c>
      <c r="D935" s="28" t="s">
        <v>1384</v>
      </c>
      <c r="E935" s="28">
        <v>5880</v>
      </c>
      <c r="F935" s="5"/>
      <c r="G935" s="17"/>
    </row>
    <row r="936" spans="1:7" s="4" customFormat="1" ht="34.5" customHeight="1" x14ac:dyDescent="0.25">
      <c r="A936" s="28">
        <f t="shared" si="23"/>
        <v>885</v>
      </c>
      <c r="B936" s="33" t="s">
        <v>1467</v>
      </c>
      <c r="C936" s="33" t="s">
        <v>1468</v>
      </c>
      <c r="D936" s="28" t="s">
        <v>1384</v>
      </c>
      <c r="E936" s="28">
        <v>4560</v>
      </c>
      <c r="F936" s="5"/>
      <c r="G936" s="17"/>
    </row>
    <row r="937" spans="1:7" s="4" customFormat="1" ht="33.75" customHeight="1" x14ac:dyDescent="0.25">
      <c r="A937" s="28">
        <f t="shared" si="23"/>
        <v>886</v>
      </c>
      <c r="B937" s="33" t="s">
        <v>1469</v>
      </c>
      <c r="C937" s="33" t="s">
        <v>1470</v>
      </c>
      <c r="D937" s="28" t="s">
        <v>1384</v>
      </c>
      <c r="E937" s="28">
        <v>5640</v>
      </c>
      <c r="F937" s="5"/>
      <c r="G937" s="17"/>
    </row>
    <row r="938" spans="1:7" s="4" customFormat="1" ht="30.75" customHeight="1" x14ac:dyDescent="0.25">
      <c r="A938" s="28">
        <f t="shared" si="23"/>
        <v>887</v>
      </c>
      <c r="B938" s="33" t="s">
        <v>1471</v>
      </c>
      <c r="C938" s="33" t="s">
        <v>1472</v>
      </c>
      <c r="D938" s="28" t="s">
        <v>1384</v>
      </c>
      <c r="E938" s="28">
        <v>4320</v>
      </c>
      <c r="F938" s="5"/>
      <c r="G938" s="17"/>
    </row>
    <row r="939" spans="1:7" s="4" customFormat="1" ht="30.75" customHeight="1" x14ac:dyDescent="0.25">
      <c r="A939" s="28">
        <f t="shared" si="23"/>
        <v>888</v>
      </c>
      <c r="B939" s="33" t="s">
        <v>1473</v>
      </c>
      <c r="C939" s="33" t="s">
        <v>1474</v>
      </c>
      <c r="D939" s="28" t="s">
        <v>1384</v>
      </c>
      <c r="E939" s="28">
        <v>5640</v>
      </c>
      <c r="F939" s="5"/>
      <c r="G939" s="17"/>
    </row>
    <row r="940" spans="1:7" s="4" customFormat="1" ht="30.75" customHeight="1" x14ac:dyDescent="0.25">
      <c r="A940" s="28">
        <f t="shared" si="23"/>
        <v>889</v>
      </c>
      <c r="B940" s="33" t="s">
        <v>1475</v>
      </c>
      <c r="C940" s="33" t="s">
        <v>1476</v>
      </c>
      <c r="D940" s="28" t="s">
        <v>1384</v>
      </c>
      <c r="E940" s="28">
        <v>4320</v>
      </c>
      <c r="F940" s="5"/>
      <c r="G940" s="17"/>
    </row>
    <row r="941" spans="1:7" s="4" customFormat="1" ht="30.75" customHeight="1" x14ac:dyDescent="0.25">
      <c r="A941" s="28">
        <f t="shared" si="23"/>
        <v>890</v>
      </c>
      <c r="B941" s="33" t="s">
        <v>1477</v>
      </c>
      <c r="C941" s="33" t="s">
        <v>1478</v>
      </c>
      <c r="D941" s="28" t="s">
        <v>1384</v>
      </c>
      <c r="E941" s="28">
        <v>3960</v>
      </c>
      <c r="F941" s="5"/>
      <c r="G941" s="17"/>
    </row>
    <row r="942" spans="1:7" s="4" customFormat="1" ht="30.75" customHeight="1" x14ac:dyDescent="0.25">
      <c r="A942" s="28">
        <f t="shared" si="23"/>
        <v>891</v>
      </c>
      <c r="B942" s="33" t="s">
        <v>1479</v>
      </c>
      <c r="C942" s="33" t="s">
        <v>1480</v>
      </c>
      <c r="D942" s="28" t="s">
        <v>1384</v>
      </c>
      <c r="E942" s="28">
        <v>4320</v>
      </c>
      <c r="F942" s="5"/>
      <c r="G942" s="17"/>
    </row>
    <row r="943" spans="1:7" s="4" customFormat="1" ht="30.75" customHeight="1" x14ac:dyDescent="0.25">
      <c r="A943" s="28">
        <f t="shared" si="23"/>
        <v>892</v>
      </c>
      <c r="B943" s="33" t="s">
        <v>1481</v>
      </c>
      <c r="C943" s="33" t="s">
        <v>1482</v>
      </c>
      <c r="D943" s="28" t="s">
        <v>1384</v>
      </c>
      <c r="E943" s="28">
        <v>4560</v>
      </c>
      <c r="F943" s="5"/>
      <c r="G943" s="17"/>
    </row>
    <row r="944" spans="1:7" s="4" customFormat="1" ht="30.75" customHeight="1" x14ac:dyDescent="0.25">
      <c r="A944" s="28">
        <f t="shared" si="23"/>
        <v>893</v>
      </c>
      <c r="B944" s="33" t="s">
        <v>1483</v>
      </c>
      <c r="C944" s="33" t="s">
        <v>1484</v>
      </c>
      <c r="D944" s="28" t="s">
        <v>1384</v>
      </c>
      <c r="E944" s="28">
        <v>5880</v>
      </c>
      <c r="F944" s="5"/>
      <c r="G944" s="17"/>
    </row>
    <row r="945" spans="1:7" s="4" customFormat="1" ht="30.75" customHeight="1" x14ac:dyDescent="0.25">
      <c r="A945" s="28">
        <f t="shared" si="23"/>
        <v>894</v>
      </c>
      <c r="B945" s="33" t="s">
        <v>1485</v>
      </c>
      <c r="C945" s="33" t="s">
        <v>1486</v>
      </c>
      <c r="D945" s="28" t="s">
        <v>1384</v>
      </c>
      <c r="E945" s="28">
        <v>3840</v>
      </c>
      <c r="F945" s="5"/>
      <c r="G945" s="17"/>
    </row>
    <row r="946" spans="1:7" s="4" customFormat="1" ht="30.75" customHeight="1" x14ac:dyDescent="0.25">
      <c r="A946" s="28">
        <f t="shared" si="23"/>
        <v>895</v>
      </c>
      <c r="B946" s="33" t="s">
        <v>1487</v>
      </c>
      <c r="C946" s="33" t="s">
        <v>1488</v>
      </c>
      <c r="D946" s="28" t="s">
        <v>1384</v>
      </c>
      <c r="E946" s="28">
        <v>3960</v>
      </c>
      <c r="F946" s="5"/>
      <c r="G946" s="17"/>
    </row>
    <row r="947" spans="1:7" s="4" customFormat="1" ht="33.75" customHeight="1" x14ac:dyDescent="0.25">
      <c r="A947" s="28">
        <f t="shared" si="23"/>
        <v>896</v>
      </c>
      <c r="B947" s="33" t="s">
        <v>1489</v>
      </c>
      <c r="C947" s="33" t="s">
        <v>1490</v>
      </c>
      <c r="D947" s="28" t="s">
        <v>1384</v>
      </c>
      <c r="E947" s="28">
        <v>3840</v>
      </c>
      <c r="F947" s="5"/>
      <c r="G947" s="17"/>
    </row>
    <row r="948" spans="1:7" s="4" customFormat="1" ht="33.75" customHeight="1" x14ac:dyDescent="0.25">
      <c r="A948" s="28">
        <f t="shared" si="23"/>
        <v>897</v>
      </c>
      <c r="B948" s="33" t="s">
        <v>1491</v>
      </c>
      <c r="C948" s="33" t="s">
        <v>1492</v>
      </c>
      <c r="D948" s="28" t="s">
        <v>1384</v>
      </c>
      <c r="E948" s="28">
        <v>3480</v>
      </c>
      <c r="F948" s="5"/>
      <c r="G948" s="17"/>
    </row>
    <row r="949" spans="1:7" s="4" customFormat="1" ht="33.75" customHeight="1" x14ac:dyDescent="0.25">
      <c r="A949" s="28">
        <f t="shared" si="23"/>
        <v>898</v>
      </c>
      <c r="B949" s="33" t="s">
        <v>1493</v>
      </c>
      <c r="C949" s="33" t="s">
        <v>1494</v>
      </c>
      <c r="D949" s="28" t="s">
        <v>1384</v>
      </c>
      <c r="E949" s="28">
        <v>6120</v>
      </c>
      <c r="F949" s="5"/>
      <c r="G949" s="17"/>
    </row>
    <row r="950" spans="1:7" s="4" customFormat="1" ht="32.25" customHeight="1" x14ac:dyDescent="0.25">
      <c r="A950" s="28">
        <f t="shared" si="23"/>
        <v>899</v>
      </c>
      <c r="B950" s="33" t="s">
        <v>1495</v>
      </c>
      <c r="C950" s="33" t="s">
        <v>1496</v>
      </c>
      <c r="D950" s="28" t="s">
        <v>1384</v>
      </c>
      <c r="E950" s="28">
        <v>5280</v>
      </c>
      <c r="F950" s="5"/>
      <c r="G950" s="17"/>
    </row>
    <row r="951" spans="1:7" s="4" customFormat="1" ht="32.25" customHeight="1" x14ac:dyDescent="0.25">
      <c r="A951" s="28">
        <f t="shared" si="23"/>
        <v>900</v>
      </c>
      <c r="B951" s="33" t="s">
        <v>1497</v>
      </c>
      <c r="C951" s="33" t="s">
        <v>1498</v>
      </c>
      <c r="D951" s="28" t="s">
        <v>1384</v>
      </c>
      <c r="E951" s="28">
        <v>4560</v>
      </c>
      <c r="F951" s="5"/>
      <c r="G951" s="17"/>
    </row>
    <row r="952" spans="1:7" s="4" customFormat="1" ht="42.75" customHeight="1" x14ac:dyDescent="0.25">
      <c r="A952" s="28">
        <f t="shared" si="23"/>
        <v>901</v>
      </c>
      <c r="B952" s="33" t="s">
        <v>1499</v>
      </c>
      <c r="C952" s="33" t="s">
        <v>1500</v>
      </c>
      <c r="D952" s="28" t="s">
        <v>1384</v>
      </c>
      <c r="E952" s="28">
        <v>4200</v>
      </c>
      <c r="F952" s="5"/>
      <c r="G952" s="17"/>
    </row>
    <row r="953" spans="1:7" s="4" customFormat="1" ht="32.25" customHeight="1" x14ac:dyDescent="0.25">
      <c r="A953" s="28">
        <f t="shared" si="23"/>
        <v>902</v>
      </c>
      <c r="B953" s="33" t="s">
        <v>1501</v>
      </c>
      <c r="C953" s="33" t="s">
        <v>1502</v>
      </c>
      <c r="D953" s="28" t="s">
        <v>1384</v>
      </c>
      <c r="E953" s="28">
        <v>3960</v>
      </c>
      <c r="F953" s="5"/>
      <c r="G953" s="17"/>
    </row>
    <row r="954" spans="1:7" s="4" customFormat="1" ht="24" customHeight="1" x14ac:dyDescent="0.25">
      <c r="A954" s="28">
        <f t="shared" si="23"/>
        <v>903</v>
      </c>
      <c r="B954" s="33" t="s">
        <v>1503</v>
      </c>
      <c r="C954" s="33" t="s">
        <v>1504</v>
      </c>
      <c r="D954" s="28" t="s">
        <v>1384</v>
      </c>
      <c r="E954" s="28">
        <v>7560</v>
      </c>
      <c r="F954" s="5"/>
      <c r="G954" s="17"/>
    </row>
    <row r="955" spans="1:7" s="4" customFormat="1" ht="24" customHeight="1" x14ac:dyDescent="0.25">
      <c r="A955" s="28">
        <f t="shared" si="23"/>
        <v>904</v>
      </c>
      <c r="B955" s="33" t="s">
        <v>1505</v>
      </c>
      <c r="C955" s="33" t="s">
        <v>1506</v>
      </c>
      <c r="D955" s="28" t="s">
        <v>1384</v>
      </c>
      <c r="E955" s="28">
        <v>3960</v>
      </c>
      <c r="F955" s="5"/>
      <c r="G955" s="17"/>
    </row>
    <row r="956" spans="1:7" s="4" customFormat="1" ht="41.25" customHeight="1" x14ac:dyDescent="0.25">
      <c r="A956" s="28">
        <f t="shared" si="23"/>
        <v>905</v>
      </c>
      <c r="B956" s="33" t="s">
        <v>1507</v>
      </c>
      <c r="C956" s="33" t="s">
        <v>1508</v>
      </c>
      <c r="D956" s="28" t="s">
        <v>1384</v>
      </c>
      <c r="E956" s="28">
        <v>6600</v>
      </c>
      <c r="F956" s="5"/>
      <c r="G956" s="17"/>
    </row>
    <row r="957" spans="1:7" s="4" customFormat="1" ht="28.5" customHeight="1" x14ac:dyDescent="0.25">
      <c r="A957" s="28">
        <f t="shared" si="23"/>
        <v>906</v>
      </c>
      <c r="B957" s="33" t="s">
        <v>1509</v>
      </c>
      <c r="C957" s="33" t="s">
        <v>1510</v>
      </c>
      <c r="D957" s="28" t="s">
        <v>1384</v>
      </c>
      <c r="E957" s="28">
        <v>6000</v>
      </c>
      <c r="F957" s="5"/>
      <c r="G957" s="17"/>
    </row>
    <row r="958" spans="1:7" s="4" customFormat="1" ht="28.5" customHeight="1" x14ac:dyDescent="0.25">
      <c r="A958" s="28">
        <f t="shared" si="23"/>
        <v>907</v>
      </c>
      <c r="B958" s="33" t="s">
        <v>1511</v>
      </c>
      <c r="C958" s="33" t="s">
        <v>1512</v>
      </c>
      <c r="D958" s="28" t="s">
        <v>1384</v>
      </c>
      <c r="E958" s="28">
        <v>7080</v>
      </c>
      <c r="F958" s="5"/>
      <c r="G958" s="17"/>
    </row>
    <row r="959" spans="1:7" s="4" customFormat="1" ht="28.5" customHeight="1" x14ac:dyDescent="0.25">
      <c r="A959" s="28">
        <f t="shared" si="23"/>
        <v>908</v>
      </c>
      <c r="B959" s="33" t="s">
        <v>1513</v>
      </c>
      <c r="C959" s="33" t="s">
        <v>1514</v>
      </c>
      <c r="D959" s="28" t="s">
        <v>1384</v>
      </c>
      <c r="E959" s="28">
        <v>6480</v>
      </c>
      <c r="F959" s="5"/>
      <c r="G959" s="17"/>
    </row>
    <row r="960" spans="1:7" s="4" customFormat="1" ht="25.5" x14ac:dyDescent="0.25">
      <c r="A960" s="28">
        <f t="shared" si="23"/>
        <v>909</v>
      </c>
      <c r="B960" s="33" t="s">
        <v>1515</v>
      </c>
      <c r="C960" s="33" t="s">
        <v>1516</v>
      </c>
      <c r="D960" s="28" t="s">
        <v>1384</v>
      </c>
      <c r="E960" s="28">
        <v>4560</v>
      </c>
      <c r="F960" s="5"/>
      <c r="G960" s="17"/>
    </row>
    <row r="961" spans="1:10" s="4" customFormat="1" ht="36" customHeight="1" x14ac:dyDescent="0.25">
      <c r="A961" s="28">
        <f t="shared" si="23"/>
        <v>910</v>
      </c>
      <c r="B961" s="33" t="s">
        <v>1517</v>
      </c>
      <c r="C961" s="33" t="s">
        <v>1518</v>
      </c>
      <c r="D961" s="28" t="s">
        <v>1384</v>
      </c>
      <c r="E961" s="28">
        <v>6000</v>
      </c>
      <c r="F961" s="5"/>
      <c r="G961" s="17"/>
      <c r="H961" s="1"/>
      <c r="I961" s="1"/>
      <c r="J961" s="1"/>
    </row>
    <row r="962" spans="1:10" s="4" customFormat="1" ht="33" customHeight="1" x14ac:dyDescent="0.25">
      <c r="A962" s="28">
        <f t="shared" si="23"/>
        <v>911</v>
      </c>
      <c r="B962" s="33" t="s">
        <v>1519</v>
      </c>
      <c r="C962" s="33" t="s">
        <v>1520</v>
      </c>
      <c r="D962" s="28" t="s">
        <v>1384</v>
      </c>
      <c r="E962" s="28">
        <v>4320</v>
      </c>
      <c r="F962" s="5"/>
      <c r="G962" s="17"/>
      <c r="H962" s="1"/>
      <c r="I962" s="1"/>
      <c r="J962" s="1"/>
    </row>
    <row r="963" spans="1:10" s="4" customFormat="1" ht="33" customHeight="1" x14ac:dyDescent="0.25">
      <c r="A963" s="28">
        <f t="shared" si="23"/>
        <v>912</v>
      </c>
      <c r="B963" s="33" t="s">
        <v>1521</v>
      </c>
      <c r="C963" s="33" t="s">
        <v>1522</v>
      </c>
      <c r="D963" s="28" t="s">
        <v>1384</v>
      </c>
      <c r="E963" s="28">
        <v>6240</v>
      </c>
      <c r="F963" s="5"/>
      <c r="G963" s="17"/>
      <c r="H963" s="1"/>
      <c r="I963" s="1"/>
      <c r="J963" s="1"/>
    </row>
    <row r="964" spans="1:10" s="4" customFormat="1" ht="33" customHeight="1" x14ac:dyDescent="0.25">
      <c r="A964" s="28">
        <f t="shared" si="23"/>
        <v>913</v>
      </c>
      <c r="B964" s="33" t="s">
        <v>1523</v>
      </c>
      <c r="C964" s="33" t="s">
        <v>1524</v>
      </c>
      <c r="D964" s="28" t="s">
        <v>1384</v>
      </c>
      <c r="E964" s="28">
        <v>3600</v>
      </c>
      <c r="F964" s="5"/>
      <c r="G964" s="17"/>
      <c r="H964" s="1"/>
      <c r="I964" s="1"/>
      <c r="J964" s="1"/>
    </row>
    <row r="965" spans="1:10" s="4" customFormat="1" ht="44.25" customHeight="1" x14ac:dyDescent="0.25">
      <c r="A965" s="28">
        <f t="shared" si="23"/>
        <v>914</v>
      </c>
      <c r="B965" s="33" t="s">
        <v>1525</v>
      </c>
      <c r="C965" s="33" t="s">
        <v>1526</v>
      </c>
      <c r="D965" s="28" t="s">
        <v>1384</v>
      </c>
      <c r="E965" s="28">
        <v>17400</v>
      </c>
      <c r="F965" s="5"/>
      <c r="G965" s="17"/>
    </row>
    <row r="966" spans="1:10" s="4" customFormat="1" ht="44.25" customHeight="1" x14ac:dyDescent="0.25">
      <c r="A966" s="28">
        <f t="shared" si="23"/>
        <v>915</v>
      </c>
      <c r="B966" s="33" t="s">
        <v>1527</v>
      </c>
      <c r="C966" s="33" t="s">
        <v>1528</v>
      </c>
      <c r="D966" s="28" t="s">
        <v>1384</v>
      </c>
      <c r="E966" s="28">
        <v>7200</v>
      </c>
      <c r="F966" s="5"/>
      <c r="G966" s="17"/>
    </row>
    <row r="967" spans="1:10" s="4" customFormat="1" ht="31.5" customHeight="1" x14ac:dyDescent="0.25">
      <c r="A967" s="28">
        <f t="shared" si="23"/>
        <v>916</v>
      </c>
      <c r="B967" s="33" t="s">
        <v>1529</v>
      </c>
      <c r="C967" s="33" t="s">
        <v>1530</v>
      </c>
      <c r="D967" s="28" t="s">
        <v>1384</v>
      </c>
      <c r="E967" s="28">
        <v>10920</v>
      </c>
      <c r="F967" s="5"/>
      <c r="G967" s="17"/>
    </row>
    <row r="968" spans="1:10" s="4" customFormat="1" ht="26.25" customHeight="1" x14ac:dyDescent="0.25">
      <c r="A968" s="28">
        <f t="shared" si="23"/>
        <v>917</v>
      </c>
      <c r="B968" s="33" t="s">
        <v>1531</v>
      </c>
      <c r="C968" s="33" t="s">
        <v>1532</v>
      </c>
      <c r="D968" s="28" t="s">
        <v>1384</v>
      </c>
      <c r="E968" s="28">
        <v>11880</v>
      </c>
      <c r="F968" s="5"/>
      <c r="G968" s="17"/>
    </row>
    <row r="969" spans="1:10" s="4" customFormat="1" ht="44.25" customHeight="1" x14ac:dyDescent="0.25">
      <c r="A969" s="28">
        <f t="shared" si="23"/>
        <v>918</v>
      </c>
      <c r="B969" s="33" t="s">
        <v>1533</v>
      </c>
      <c r="C969" s="33" t="s">
        <v>1534</v>
      </c>
      <c r="D969" s="28" t="s">
        <v>1384</v>
      </c>
      <c r="E969" s="28">
        <v>9960</v>
      </c>
      <c r="F969" s="5"/>
      <c r="G969" s="17"/>
    </row>
    <row r="970" spans="1:10" ht="35.25" customHeight="1" x14ac:dyDescent="0.25">
      <c r="A970" s="28">
        <f t="shared" si="23"/>
        <v>919</v>
      </c>
      <c r="B970" s="49" t="s">
        <v>1535</v>
      </c>
      <c r="C970" s="33" t="s">
        <v>1536</v>
      </c>
      <c r="D970" s="40" t="s">
        <v>1384</v>
      </c>
      <c r="E970" s="28">
        <v>16080</v>
      </c>
      <c r="F970" s="5"/>
      <c r="G970" s="17"/>
      <c r="H970" s="4"/>
      <c r="I970" s="4"/>
      <c r="J970" s="4"/>
    </row>
    <row r="971" spans="1:10" ht="35.25" customHeight="1" x14ac:dyDescent="0.25">
      <c r="A971" s="28">
        <f t="shared" si="23"/>
        <v>920</v>
      </c>
      <c r="B971" s="49" t="str">
        <f>'[1]кальк '!$B$10</f>
        <v xml:space="preserve">Определение Ig G  к возбудителю краснухи в сыворотке крови методом иммунохемилюминесценции </v>
      </c>
      <c r="C971" s="56" t="str">
        <f>[1]исхданные!$O$43</f>
        <v>B06.248.006</v>
      </c>
      <c r="D971" s="40" t="s">
        <v>1384</v>
      </c>
      <c r="E971" s="28">
        <v>7800</v>
      </c>
      <c r="F971" s="5"/>
      <c r="G971" s="17"/>
      <c r="H971" s="4"/>
      <c r="I971" s="4"/>
      <c r="J971" s="4"/>
    </row>
    <row r="972" spans="1:10" ht="35.25" customHeight="1" x14ac:dyDescent="0.25">
      <c r="A972" s="28">
        <f t="shared" si="23"/>
        <v>921</v>
      </c>
      <c r="B972" s="49" t="str">
        <f>'[1]кальк '!$B$9</f>
        <v xml:space="preserve">Определение Ig M к возбудителю краснухи в сыворотке крови методом иммунохемилюминесценции </v>
      </c>
      <c r="C972" s="56" t="str">
        <f>[1]исхданные!$O$26</f>
        <v>B06.287.006</v>
      </c>
      <c r="D972" s="40" t="s">
        <v>1384</v>
      </c>
      <c r="E972" s="28">
        <v>7800</v>
      </c>
      <c r="F972" s="5"/>
      <c r="G972" s="17"/>
      <c r="H972" s="4"/>
      <c r="I972" s="4"/>
      <c r="J972" s="4"/>
    </row>
    <row r="973" spans="1:10" ht="25.5" x14ac:dyDescent="0.25">
      <c r="A973" s="28">
        <f t="shared" si="23"/>
        <v>922</v>
      </c>
      <c r="B973" s="49" t="str">
        <f>'[1]кальк '!$B$8</f>
        <v>Определение анти Мюллерова гормона в сыворотке крови методом иммунохемилюминисценции</v>
      </c>
      <c r="C973" s="58" t="str">
        <f>[1]исхданные!$O$9</f>
        <v>B06.163.006</v>
      </c>
      <c r="D973" s="40" t="s">
        <v>1384</v>
      </c>
      <c r="E973" s="28">
        <v>16080</v>
      </c>
      <c r="F973" s="5"/>
      <c r="G973" s="17"/>
      <c r="H973" s="4"/>
      <c r="I973" s="4"/>
      <c r="J973" s="4"/>
    </row>
    <row r="974" spans="1:10" s="4" customFormat="1" ht="32.25" customHeight="1" x14ac:dyDescent="0.25">
      <c r="A974" s="28">
        <f t="shared" si="23"/>
        <v>923</v>
      </c>
      <c r="B974" s="33" t="s">
        <v>1537</v>
      </c>
      <c r="C974" s="33" t="s">
        <v>1538</v>
      </c>
      <c r="D974" s="28" t="s">
        <v>1384</v>
      </c>
      <c r="E974" s="28">
        <v>3240</v>
      </c>
      <c r="F974" s="5"/>
      <c r="G974" s="17"/>
    </row>
    <row r="975" spans="1:10" s="4" customFormat="1" ht="32.25" customHeight="1" x14ac:dyDescent="0.25">
      <c r="A975" s="28">
        <f t="shared" si="23"/>
        <v>924</v>
      </c>
      <c r="B975" s="33" t="s">
        <v>1539</v>
      </c>
      <c r="C975" s="33" t="s">
        <v>1540</v>
      </c>
      <c r="D975" s="28" t="s">
        <v>1384</v>
      </c>
      <c r="E975" s="28">
        <v>3960</v>
      </c>
      <c r="F975" s="5"/>
      <c r="G975" s="17"/>
    </row>
    <row r="976" spans="1:10" s="4" customFormat="1" ht="32.25" customHeight="1" x14ac:dyDescent="0.25">
      <c r="A976" s="28">
        <f t="shared" si="23"/>
        <v>925</v>
      </c>
      <c r="B976" s="33" t="s">
        <v>1541</v>
      </c>
      <c r="C976" s="33" t="s">
        <v>1542</v>
      </c>
      <c r="D976" s="28" t="s">
        <v>1384</v>
      </c>
      <c r="E976" s="28">
        <v>3600</v>
      </c>
      <c r="F976" s="5"/>
      <c r="G976" s="17"/>
    </row>
    <row r="977" spans="1:7" s="4" customFormat="1" ht="25.5" x14ac:dyDescent="0.25">
      <c r="A977" s="28">
        <f t="shared" si="23"/>
        <v>926</v>
      </c>
      <c r="B977" s="33" t="s">
        <v>1543</v>
      </c>
      <c r="C977" s="33" t="s">
        <v>1544</v>
      </c>
      <c r="D977" s="28" t="s">
        <v>1384</v>
      </c>
      <c r="E977" s="28">
        <v>4680</v>
      </c>
      <c r="F977" s="5"/>
      <c r="G977" s="17"/>
    </row>
    <row r="978" spans="1:7" s="4" customFormat="1" ht="25.5" x14ac:dyDescent="0.25">
      <c r="A978" s="28">
        <f t="shared" si="23"/>
        <v>927</v>
      </c>
      <c r="B978" s="33" t="s">
        <v>1545</v>
      </c>
      <c r="C978" s="33" t="s">
        <v>1546</v>
      </c>
      <c r="D978" s="28" t="s">
        <v>1384</v>
      </c>
      <c r="E978" s="28">
        <v>3480</v>
      </c>
      <c r="F978" s="5"/>
      <c r="G978" s="17"/>
    </row>
    <row r="979" spans="1:7" s="4" customFormat="1" ht="41.25" customHeight="1" x14ac:dyDescent="0.25">
      <c r="A979" s="28">
        <f t="shared" si="23"/>
        <v>928</v>
      </c>
      <c r="B979" s="33" t="s">
        <v>1547</v>
      </c>
      <c r="C979" s="33" t="s">
        <v>1548</v>
      </c>
      <c r="D979" s="28" t="s">
        <v>1384</v>
      </c>
      <c r="E979" s="28">
        <v>3480</v>
      </c>
      <c r="F979" s="5"/>
      <c r="G979" s="17"/>
    </row>
    <row r="980" spans="1:7" s="4" customFormat="1" ht="33.75" customHeight="1" x14ac:dyDescent="0.25">
      <c r="A980" s="28">
        <f t="shared" si="23"/>
        <v>929</v>
      </c>
      <c r="B980" s="33" t="s">
        <v>1549</v>
      </c>
      <c r="C980" s="33" t="s">
        <v>1550</v>
      </c>
      <c r="D980" s="28" t="s">
        <v>1384</v>
      </c>
      <c r="E980" s="28">
        <v>3840</v>
      </c>
      <c r="F980" s="5"/>
      <c r="G980" s="17"/>
    </row>
    <row r="981" spans="1:7" s="4" customFormat="1" ht="33.75" customHeight="1" x14ac:dyDescent="0.25">
      <c r="A981" s="28">
        <f t="shared" si="23"/>
        <v>930</v>
      </c>
      <c r="B981" s="33" t="s">
        <v>1551</v>
      </c>
      <c r="C981" s="33" t="s">
        <v>1552</v>
      </c>
      <c r="D981" s="28" t="s">
        <v>1384</v>
      </c>
      <c r="E981" s="28">
        <v>2880</v>
      </c>
      <c r="F981" s="5"/>
      <c r="G981" s="17"/>
    </row>
    <row r="982" spans="1:7" s="4" customFormat="1" ht="33.75" customHeight="1" x14ac:dyDescent="0.25">
      <c r="A982" s="28">
        <f t="shared" si="23"/>
        <v>931</v>
      </c>
      <c r="B982" s="33" t="s">
        <v>1553</v>
      </c>
      <c r="C982" s="33" t="s">
        <v>1554</v>
      </c>
      <c r="D982" s="28" t="s">
        <v>1384</v>
      </c>
      <c r="E982" s="28">
        <v>3120</v>
      </c>
      <c r="F982" s="5"/>
      <c r="G982" s="17"/>
    </row>
    <row r="983" spans="1:7" s="4" customFormat="1" ht="33.75" customHeight="1" x14ac:dyDescent="0.25">
      <c r="A983" s="28">
        <f t="shared" si="23"/>
        <v>932</v>
      </c>
      <c r="B983" s="33" t="s">
        <v>1555</v>
      </c>
      <c r="C983" s="33" t="s">
        <v>1556</v>
      </c>
      <c r="D983" s="28" t="s">
        <v>1384</v>
      </c>
      <c r="E983" s="28">
        <v>3480</v>
      </c>
      <c r="F983" s="5"/>
      <c r="G983" s="17"/>
    </row>
    <row r="984" spans="1:7" s="4" customFormat="1" ht="33.75" customHeight="1" x14ac:dyDescent="0.25">
      <c r="A984" s="28">
        <f t="shared" si="23"/>
        <v>933</v>
      </c>
      <c r="B984" s="33" t="s">
        <v>1557</v>
      </c>
      <c r="C984" s="33" t="s">
        <v>1558</v>
      </c>
      <c r="D984" s="28" t="s">
        <v>1384</v>
      </c>
      <c r="E984" s="28">
        <v>3480</v>
      </c>
      <c r="F984" s="5"/>
      <c r="G984" s="17"/>
    </row>
    <row r="985" spans="1:7" s="4" customFormat="1" ht="18.75" customHeight="1" x14ac:dyDescent="0.25">
      <c r="A985" s="136" t="s">
        <v>1559</v>
      </c>
      <c r="B985" s="137"/>
      <c r="C985" s="137"/>
      <c r="D985" s="137"/>
      <c r="E985" s="138"/>
      <c r="F985" s="5"/>
      <c r="G985" s="17"/>
    </row>
    <row r="986" spans="1:7" s="4" customFormat="1" ht="25.5" x14ac:dyDescent="0.25">
      <c r="A986" s="28">
        <f>A984+1</f>
        <v>934</v>
      </c>
      <c r="B986" s="33" t="s">
        <v>1560</v>
      </c>
      <c r="C986" s="33" t="s">
        <v>1561</v>
      </c>
      <c r="D986" s="28" t="s">
        <v>1384</v>
      </c>
      <c r="E986" s="28">
        <v>1560</v>
      </c>
      <c r="F986" s="5"/>
      <c r="G986" s="17"/>
    </row>
    <row r="987" spans="1:7" s="4" customFormat="1" ht="25.5" x14ac:dyDescent="0.25">
      <c r="A987" s="28">
        <f>A986+1</f>
        <v>935</v>
      </c>
      <c r="B987" s="33" t="s">
        <v>1562</v>
      </c>
      <c r="C987" s="33" t="s">
        <v>1563</v>
      </c>
      <c r="D987" s="28" t="s">
        <v>1384</v>
      </c>
      <c r="E987" s="28">
        <v>1440</v>
      </c>
      <c r="F987" s="5"/>
      <c r="G987" s="17"/>
    </row>
    <row r="988" spans="1:7" s="4" customFormat="1" ht="25.5" x14ac:dyDescent="0.25">
      <c r="A988" s="28">
        <f t="shared" ref="A988:A1040" si="24">A987+1</f>
        <v>936</v>
      </c>
      <c r="B988" s="33" t="s">
        <v>1564</v>
      </c>
      <c r="C988" s="33" t="s">
        <v>1565</v>
      </c>
      <c r="D988" s="28" t="s">
        <v>1384</v>
      </c>
      <c r="E988" s="28">
        <v>1560</v>
      </c>
      <c r="F988" s="5"/>
      <c r="G988" s="17"/>
    </row>
    <row r="989" spans="1:7" s="4" customFormat="1" ht="25.5" x14ac:dyDescent="0.25">
      <c r="A989" s="28">
        <f t="shared" si="24"/>
        <v>937</v>
      </c>
      <c r="B989" s="33" t="s">
        <v>1566</v>
      </c>
      <c r="C989" s="33" t="s">
        <v>1567</v>
      </c>
      <c r="D989" s="28" t="s">
        <v>1384</v>
      </c>
      <c r="E989" s="28">
        <v>1800</v>
      </c>
      <c r="F989" s="5"/>
      <c r="G989" s="17"/>
    </row>
    <row r="990" spans="1:7" s="4" customFormat="1" ht="25.5" x14ac:dyDescent="0.25">
      <c r="A990" s="28">
        <f t="shared" si="24"/>
        <v>938</v>
      </c>
      <c r="B990" s="33" t="s">
        <v>1568</v>
      </c>
      <c r="C990" s="33" t="s">
        <v>1569</v>
      </c>
      <c r="D990" s="28" t="s">
        <v>1384</v>
      </c>
      <c r="E990" s="28">
        <v>1440</v>
      </c>
      <c r="F990" s="5"/>
      <c r="G990" s="17"/>
    </row>
    <row r="991" spans="1:7" s="4" customFormat="1" ht="25.5" x14ac:dyDescent="0.25">
      <c r="A991" s="28">
        <f t="shared" si="24"/>
        <v>939</v>
      </c>
      <c r="B991" s="33" t="s">
        <v>1570</v>
      </c>
      <c r="C991" s="55" t="s">
        <v>1571</v>
      </c>
      <c r="D991" s="28" t="s">
        <v>1384</v>
      </c>
      <c r="E991" s="28">
        <v>3240</v>
      </c>
      <c r="F991" s="5"/>
      <c r="G991" s="17"/>
    </row>
    <row r="992" spans="1:7" s="4" customFormat="1" ht="25.5" x14ac:dyDescent="0.25">
      <c r="A992" s="28">
        <f t="shared" si="24"/>
        <v>940</v>
      </c>
      <c r="B992" s="33" t="s">
        <v>1572</v>
      </c>
      <c r="C992" s="55" t="s">
        <v>1573</v>
      </c>
      <c r="D992" s="28" t="s">
        <v>1384</v>
      </c>
      <c r="E992" s="28">
        <v>3240</v>
      </c>
      <c r="F992" s="5"/>
      <c r="G992" s="17"/>
    </row>
    <row r="993" spans="1:7" s="4" customFormat="1" ht="25.5" x14ac:dyDescent="0.25">
      <c r="A993" s="28">
        <f t="shared" si="24"/>
        <v>941</v>
      </c>
      <c r="B993" s="33" t="s">
        <v>1574</v>
      </c>
      <c r="C993" s="33" t="s">
        <v>1575</v>
      </c>
      <c r="D993" s="28" t="s">
        <v>1384</v>
      </c>
      <c r="E993" s="28">
        <v>1560</v>
      </c>
      <c r="F993" s="5"/>
      <c r="G993" s="17"/>
    </row>
    <row r="994" spans="1:7" s="4" customFormat="1" ht="25.5" x14ac:dyDescent="0.25">
      <c r="A994" s="28">
        <f t="shared" si="24"/>
        <v>942</v>
      </c>
      <c r="B994" s="33" t="s">
        <v>1576</v>
      </c>
      <c r="C994" s="33" t="s">
        <v>1577</v>
      </c>
      <c r="D994" s="28" t="s">
        <v>1384</v>
      </c>
      <c r="E994" s="28">
        <v>1800</v>
      </c>
      <c r="F994" s="5"/>
      <c r="G994" s="17"/>
    </row>
    <row r="995" spans="1:7" s="4" customFormat="1" ht="25.5" x14ac:dyDescent="0.25">
      <c r="A995" s="28">
        <f t="shared" si="24"/>
        <v>943</v>
      </c>
      <c r="B995" s="33" t="s">
        <v>1578</v>
      </c>
      <c r="C995" s="33" t="s">
        <v>1579</v>
      </c>
      <c r="D995" s="28" t="s">
        <v>1384</v>
      </c>
      <c r="E995" s="28">
        <v>1680</v>
      </c>
      <c r="F995" s="5"/>
      <c r="G995" s="17"/>
    </row>
    <row r="996" spans="1:7" s="4" customFormat="1" ht="18.75" x14ac:dyDescent="0.25">
      <c r="A996" s="28">
        <f t="shared" si="24"/>
        <v>944</v>
      </c>
      <c r="B996" s="33" t="s">
        <v>1580</v>
      </c>
      <c r="C996" s="33" t="s">
        <v>1581</v>
      </c>
      <c r="D996" s="28" t="s">
        <v>1384</v>
      </c>
      <c r="E996" s="28">
        <v>1560</v>
      </c>
      <c r="F996" s="5"/>
      <c r="G996" s="17"/>
    </row>
    <row r="997" spans="1:7" s="4" customFormat="1" ht="18.75" x14ac:dyDescent="0.25">
      <c r="A997" s="28">
        <f t="shared" si="24"/>
        <v>945</v>
      </c>
      <c r="B997" s="33" t="s">
        <v>1582</v>
      </c>
      <c r="C997" s="33" t="s">
        <v>1583</v>
      </c>
      <c r="D997" s="28" t="s">
        <v>1384</v>
      </c>
      <c r="E997" s="28">
        <v>1560</v>
      </c>
      <c r="F997" s="5"/>
      <c r="G997" s="17"/>
    </row>
    <row r="998" spans="1:7" s="4" customFormat="1" ht="18.75" x14ac:dyDescent="0.25">
      <c r="A998" s="28">
        <f t="shared" si="24"/>
        <v>946</v>
      </c>
      <c r="B998" s="33" t="s">
        <v>1584</v>
      </c>
      <c r="C998" s="33" t="s">
        <v>1585</v>
      </c>
      <c r="D998" s="28" t="s">
        <v>1384</v>
      </c>
      <c r="E998" s="28">
        <v>2280</v>
      </c>
      <c r="F998" s="5"/>
      <c r="G998" s="17"/>
    </row>
    <row r="999" spans="1:7" s="4" customFormat="1" ht="18.75" x14ac:dyDescent="0.25">
      <c r="A999" s="28">
        <f t="shared" si="24"/>
        <v>947</v>
      </c>
      <c r="B999" s="33" t="s">
        <v>1586</v>
      </c>
      <c r="C999" s="33" t="s">
        <v>1587</v>
      </c>
      <c r="D999" s="28" t="s">
        <v>1384</v>
      </c>
      <c r="E999" s="28">
        <v>1680</v>
      </c>
      <c r="F999" s="5"/>
      <c r="G999" s="17"/>
    </row>
    <row r="1000" spans="1:7" s="4" customFormat="1" ht="18.75" x14ac:dyDescent="0.25">
      <c r="A1000" s="28">
        <f t="shared" si="24"/>
        <v>948</v>
      </c>
      <c r="B1000" s="33" t="s">
        <v>1588</v>
      </c>
      <c r="C1000" s="33" t="s">
        <v>1589</v>
      </c>
      <c r="D1000" s="28" t="s">
        <v>1384</v>
      </c>
      <c r="E1000" s="28">
        <v>1680</v>
      </c>
      <c r="F1000" s="5"/>
      <c r="G1000" s="17"/>
    </row>
    <row r="1001" spans="1:7" s="4" customFormat="1" ht="25.5" x14ac:dyDescent="0.25">
      <c r="A1001" s="28">
        <f t="shared" si="24"/>
        <v>949</v>
      </c>
      <c r="B1001" s="33" t="s">
        <v>1590</v>
      </c>
      <c r="C1001" s="33" t="s">
        <v>1591</v>
      </c>
      <c r="D1001" s="28" t="s">
        <v>1384</v>
      </c>
      <c r="E1001" s="28">
        <v>1440</v>
      </c>
      <c r="F1001" s="5"/>
      <c r="G1001" s="17"/>
    </row>
    <row r="1002" spans="1:7" s="4" customFormat="1" ht="18.75" x14ac:dyDescent="0.25">
      <c r="A1002" s="28">
        <f t="shared" si="24"/>
        <v>950</v>
      </c>
      <c r="B1002" s="33" t="s">
        <v>1592</v>
      </c>
      <c r="C1002" s="33" t="s">
        <v>1593</v>
      </c>
      <c r="D1002" s="28" t="s">
        <v>1384</v>
      </c>
      <c r="E1002" s="28">
        <v>1560</v>
      </c>
      <c r="F1002" s="5"/>
      <c r="G1002" s="17"/>
    </row>
    <row r="1003" spans="1:7" s="4" customFormat="1" ht="24.75" customHeight="1" x14ac:dyDescent="0.25">
      <c r="A1003" s="28">
        <f t="shared" si="24"/>
        <v>951</v>
      </c>
      <c r="B1003" s="33" t="s">
        <v>1594</v>
      </c>
      <c r="C1003" s="33" t="s">
        <v>1595</v>
      </c>
      <c r="D1003" s="28" t="s">
        <v>1384</v>
      </c>
      <c r="E1003" s="28">
        <v>1560</v>
      </c>
      <c r="F1003" s="5"/>
      <c r="G1003" s="17"/>
    </row>
    <row r="1004" spans="1:7" s="4" customFormat="1" ht="18.75" x14ac:dyDescent="0.25">
      <c r="A1004" s="28">
        <f t="shared" si="24"/>
        <v>952</v>
      </c>
      <c r="B1004" s="33" t="s">
        <v>1596</v>
      </c>
      <c r="C1004" s="33" t="s">
        <v>1597</v>
      </c>
      <c r="D1004" s="28" t="s">
        <v>1384</v>
      </c>
      <c r="E1004" s="28">
        <v>1560</v>
      </c>
      <c r="F1004" s="5"/>
      <c r="G1004" s="17"/>
    </row>
    <row r="1005" spans="1:7" s="4" customFormat="1" ht="25.5" x14ac:dyDescent="0.25">
      <c r="A1005" s="28">
        <f t="shared" si="24"/>
        <v>953</v>
      </c>
      <c r="B1005" s="33" t="s">
        <v>1598</v>
      </c>
      <c r="C1005" s="33" t="s">
        <v>1599</v>
      </c>
      <c r="D1005" s="28" t="s">
        <v>1384</v>
      </c>
      <c r="E1005" s="28">
        <v>1560</v>
      </c>
      <c r="F1005" s="5"/>
      <c r="G1005" s="17"/>
    </row>
    <row r="1006" spans="1:7" s="4" customFormat="1" ht="25.5" x14ac:dyDescent="0.25">
      <c r="A1006" s="28">
        <f t="shared" si="24"/>
        <v>954</v>
      </c>
      <c r="B1006" s="33" t="s">
        <v>1600</v>
      </c>
      <c r="C1006" s="33" t="s">
        <v>1601</v>
      </c>
      <c r="D1006" s="28" t="s">
        <v>1384</v>
      </c>
      <c r="E1006" s="28">
        <v>1560</v>
      </c>
      <c r="F1006" s="5"/>
      <c r="G1006" s="17"/>
    </row>
    <row r="1007" spans="1:7" s="4" customFormat="1" ht="25.5" x14ac:dyDescent="0.25">
      <c r="A1007" s="28">
        <f t="shared" si="24"/>
        <v>955</v>
      </c>
      <c r="B1007" s="33" t="s">
        <v>1602</v>
      </c>
      <c r="C1007" s="33" t="s">
        <v>1603</v>
      </c>
      <c r="D1007" s="28" t="s">
        <v>1384</v>
      </c>
      <c r="E1007" s="28">
        <v>1560</v>
      </c>
      <c r="F1007" s="5"/>
      <c r="G1007" s="17"/>
    </row>
    <row r="1008" spans="1:7" s="4" customFormat="1" ht="25.5" x14ac:dyDescent="0.25">
      <c r="A1008" s="28">
        <f t="shared" si="24"/>
        <v>956</v>
      </c>
      <c r="B1008" s="33" t="s">
        <v>1604</v>
      </c>
      <c r="C1008" s="33" t="s">
        <v>1605</v>
      </c>
      <c r="D1008" s="28" t="s">
        <v>1384</v>
      </c>
      <c r="E1008" s="28">
        <v>1680</v>
      </c>
      <c r="F1008" s="5"/>
      <c r="G1008" s="17"/>
    </row>
    <row r="1009" spans="1:7" s="4" customFormat="1" ht="25.5" x14ac:dyDescent="0.25">
      <c r="A1009" s="28">
        <f t="shared" si="24"/>
        <v>957</v>
      </c>
      <c r="B1009" s="33" t="s">
        <v>1606</v>
      </c>
      <c r="C1009" s="33" t="s">
        <v>1607</v>
      </c>
      <c r="D1009" s="28" t="s">
        <v>1384</v>
      </c>
      <c r="E1009" s="28">
        <v>2280</v>
      </c>
      <c r="F1009" s="5"/>
      <c r="G1009" s="17"/>
    </row>
    <row r="1010" spans="1:7" s="4" customFormat="1" ht="18.75" x14ac:dyDescent="0.25">
      <c r="A1010" s="28">
        <f t="shared" si="24"/>
        <v>958</v>
      </c>
      <c r="B1010" s="33" t="s">
        <v>1608</v>
      </c>
      <c r="C1010" s="33" t="s">
        <v>1609</v>
      </c>
      <c r="D1010" s="28" t="s">
        <v>1384</v>
      </c>
      <c r="E1010" s="28">
        <v>2280</v>
      </c>
      <c r="F1010" s="5"/>
      <c r="G1010" s="17"/>
    </row>
    <row r="1011" spans="1:7" s="4" customFormat="1" ht="28.5" customHeight="1" x14ac:dyDescent="0.25">
      <c r="A1011" s="28">
        <f t="shared" si="24"/>
        <v>959</v>
      </c>
      <c r="B1011" s="33" t="s">
        <v>1610</v>
      </c>
      <c r="C1011" s="33" t="s">
        <v>1611</v>
      </c>
      <c r="D1011" s="28" t="s">
        <v>1384</v>
      </c>
      <c r="E1011" s="28">
        <v>1560</v>
      </c>
      <c r="F1011" s="5"/>
      <c r="G1011" s="17"/>
    </row>
    <row r="1012" spans="1:7" s="4" customFormat="1" ht="18.75" x14ac:dyDescent="0.25">
      <c r="A1012" s="28">
        <f t="shared" si="24"/>
        <v>960</v>
      </c>
      <c r="B1012" s="33" t="s">
        <v>1612</v>
      </c>
      <c r="C1012" s="33" t="s">
        <v>1613</v>
      </c>
      <c r="D1012" s="28" t="s">
        <v>1384</v>
      </c>
      <c r="E1012" s="28">
        <v>2280</v>
      </c>
      <c r="F1012" s="5"/>
      <c r="G1012" s="17"/>
    </row>
    <row r="1013" spans="1:7" s="4" customFormat="1" ht="25.5" x14ac:dyDescent="0.25">
      <c r="A1013" s="28">
        <f t="shared" si="24"/>
        <v>961</v>
      </c>
      <c r="B1013" s="33" t="s">
        <v>1614</v>
      </c>
      <c r="C1013" s="33" t="s">
        <v>1615</v>
      </c>
      <c r="D1013" s="28" t="s">
        <v>1384</v>
      </c>
      <c r="E1013" s="28">
        <v>1440</v>
      </c>
      <c r="F1013" s="5"/>
      <c r="G1013" s="17"/>
    </row>
    <row r="1014" spans="1:7" s="4" customFormat="1" ht="25.5" x14ac:dyDescent="0.25">
      <c r="A1014" s="28">
        <f t="shared" si="24"/>
        <v>962</v>
      </c>
      <c r="B1014" s="33" t="s">
        <v>1616</v>
      </c>
      <c r="C1014" s="33" t="s">
        <v>1617</v>
      </c>
      <c r="D1014" s="28" t="s">
        <v>1384</v>
      </c>
      <c r="E1014" s="28">
        <v>3600</v>
      </c>
      <c r="F1014" s="5"/>
      <c r="G1014" s="17"/>
    </row>
    <row r="1015" spans="1:7" s="4" customFormat="1" ht="25.5" x14ac:dyDescent="0.25">
      <c r="A1015" s="28">
        <f t="shared" si="24"/>
        <v>963</v>
      </c>
      <c r="B1015" s="33" t="s">
        <v>1618</v>
      </c>
      <c r="C1015" s="33" t="s">
        <v>1619</v>
      </c>
      <c r="D1015" s="28" t="s">
        <v>1384</v>
      </c>
      <c r="E1015" s="28">
        <v>3120</v>
      </c>
      <c r="F1015" s="5"/>
      <c r="G1015" s="17"/>
    </row>
    <row r="1016" spans="1:7" s="4" customFormat="1" ht="25.5" x14ac:dyDescent="0.25">
      <c r="A1016" s="28">
        <f t="shared" si="24"/>
        <v>964</v>
      </c>
      <c r="B1016" s="33" t="s">
        <v>1620</v>
      </c>
      <c r="C1016" s="33" t="s">
        <v>1621</v>
      </c>
      <c r="D1016" s="28" t="s">
        <v>1384</v>
      </c>
      <c r="E1016" s="28">
        <v>3120</v>
      </c>
      <c r="F1016" s="5"/>
      <c r="G1016" s="17"/>
    </row>
    <row r="1017" spans="1:7" s="4" customFormat="1" ht="25.5" x14ac:dyDescent="0.25">
      <c r="A1017" s="28">
        <f t="shared" si="24"/>
        <v>965</v>
      </c>
      <c r="B1017" s="33" t="s">
        <v>1622</v>
      </c>
      <c r="C1017" s="33" t="s">
        <v>1623</v>
      </c>
      <c r="D1017" s="28" t="s">
        <v>1384</v>
      </c>
      <c r="E1017" s="28">
        <v>2880</v>
      </c>
      <c r="F1017" s="5"/>
      <c r="G1017" s="17"/>
    </row>
    <row r="1018" spans="1:7" s="4" customFormat="1" ht="25.5" x14ac:dyDescent="0.25">
      <c r="A1018" s="28">
        <f t="shared" si="24"/>
        <v>966</v>
      </c>
      <c r="B1018" s="33" t="s">
        <v>1624</v>
      </c>
      <c r="C1018" s="33" t="s">
        <v>1625</v>
      </c>
      <c r="D1018" s="28" t="s">
        <v>1384</v>
      </c>
      <c r="E1018" s="28">
        <v>2640</v>
      </c>
      <c r="F1018" s="5"/>
      <c r="G1018" s="17"/>
    </row>
    <row r="1019" spans="1:7" s="4" customFormat="1" ht="30" customHeight="1" x14ac:dyDescent="0.25">
      <c r="A1019" s="28">
        <f t="shared" si="24"/>
        <v>967</v>
      </c>
      <c r="B1019" s="33" t="s">
        <v>1626</v>
      </c>
      <c r="C1019" s="33" t="s">
        <v>1627</v>
      </c>
      <c r="D1019" s="28" t="s">
        <v>1384</v>
      </c>
      <c r="E1019" s="28">
        <v>2640</v>
      </c>
      <c r="F1019" s="5"/>
      <c r="G1019" s="17"/>
    </row>
    <row r="1020" spans="1:7" s="4" customFormat="1" ht="30" customHeight="1" x14ac:dyDescent="0.25">
      <c r="A1020" s="28">
        <f t="shared" si="24"/>
        <v>968</v>
      </c>
      <c r="B1020" s="33" t="s">
        <v>1628</v>
      </c>
      <c r="C1020" s="33" t="s">
        <v>1629</v>
      </c>
      <c r="D1020" s="28" t="s">
        <v>1384</v>
      </c>
      <c r="E1020" s="28">
        <v>3360</v>
      </c>
      <c r="F1020" s="5"/>
      <c r="G1020" s="17"/>
    </row>
    <row r="1021" spans="1:7" s="4" customFormat="1" ht="25.5" x14ac:dyDescent="0.25">
      <c r="A1021" s="28">
        <f t="shared" si="24"/>
        <v>969</v>
      </c>
      <c r="B1021" s="33" t="s">
        <v>1630</v>
      </c>
      <c r="C1021" s="33" t="s">
        <v>1631</v>
      </c>
      <c r="D1021" s="28" t="s">
        <v>1384</v>
      </c>
      <c r="E1021" s="28">
        <v>4200</v>
      </c>
      <c r="F1021" s="5"/>
      <c r="G1021" s="17"/>
    </row>
    <row r="1022" spans="1:7" s="4" customFormat="1" ht="18.75" x14ac:dyDescent="0.25">
      <c r="A1022" s="28">
        <f t="shared" si="24"/>
        <v>970</v>
      </c>
      <c r="B1022" s="33" t="s">
        <v>1632</v>
      </c>
      <c r="C1022" s="33" t="s">
        <v>1633</v>
      </c>
      <c r="D1022" s="28" t="s">
        <v>1384</v>
      </c>
      <c r="E1022" s="28">
        <v>2040</v>
      </c>
      <c r="F1022" s="5"/>
      <c r="G1022" s="17"/>
    </row>
    <row r="1023" spans="1:7" s="4" customFormat="1" ht="25.5" x14ac:dyDescent="0.25">
      <c r="A1023" s="28">
        <f t="shared" si="24"/>
        <v>971</v>
      </c>
      <c r="B1023" s="33" t="s">
        <v>1634</v>
      </c>
      <c r="C1023" s="33" t="s">
        <v>1635</v>
      </c>
      <c r="D1023" s="28" t="s">
        <v>1384</v>
      </c>
      <c r="E1023" s="28">
        <v>2040</v>
      </c>
      <c r="F1023" s="5"/>
      <c r="G1023" s="17"/>
    </row>
    <row r="1024" spans="1:7" s="4" customFormat="1" ht="18.75" x14ac:dyDescent="0.25">
      <c r="A1024" s="28">
        <f t="shared" si="24"/>
        <v>972</v>
      </c>
      <c r="B1024" s="33" t="s">
        <v>1582</v>
      </c>
      <c r="C1024" s="33" t="s">
        <v>1583</v>
      </c>
      <c r="D1024" s="28" t="s">
        <v>1384</v>
      </c>
      <c r="E1024" s="28">
        <v>2040</v>
      </c>
      <c r="F1024" s="5"/>
      <c r="G1024" s="17"/>
    </row>
    <row r="1025" spans="1:7" s="4" customFormat="1" ht="18.75" x14ac:dyDescent="0.25">
      <c r="A1025" s="28">
        <f t="shared" si="24"/>
        <v>973</v>
      </c>
      <c r="B1025" s="33" t="s">
        <v>1636</v>
      </c>
      <c r="C1025" s="33" t="s">
        <v>1637</v>
      </c>
      <c r="D1025" s="28" t="s">
        <v>1384</v>
      </c>
      <c r="E1025" s="28">
        <v>2640</v>
      </c>
      <c r="F1025" s="5"/>
      <c r="G1025" s="17"/>
    </row>
    <row r="1026" spans="1:7" s="4" customFormat="1" ht="18.75" x14ac:dyDescent="0.25">
      <c r="A1026" s="28">
        <f t="shared" si="24"/>
        <v>974</v>
      </c>
      <c r="B1026" s="33" t="s">
        <v>1638</v>
      </c>
      <c r="C1026" s="33" t="s">
        <v>1639</v>
      </c>
      <c r="D1026" s="28" t="s">
        <v>1384</v>
      </c>
      <c r="E1026" s="28">
        <v>2760</v>
      </c>
      <c r="F1026" s="5"/>
      <c r="G1026" s="17"/>
    </row>
    <row r="1027" spans="1:7" s="4" customFormat="1" ht="24.75" customHeight="1" x14ac:dyDescent="0.25">
      <c r="A1027" s="28">
        <f t="shared" si="24"/>
        <v>975</v>
      </c>
      <c r="B1027" s="33" t="s">
        <v>1640</v>
      </c>
      <c r="C1027" s="33" t="s">
        <v>1641</v>
      </c>
      <c r="D1027" s="28" t="s">
        <v>1384</v>
      </c>
      <c r="E1027" s="28">
        <v>1200</v>
      </c>
      <c r="F1027" s="5"/>
      <c r="G1027" s="17"/>
    </row>
    <row r="1028" spans="1:7" s="4" customFormat="1" ht="24.75" customHeight="1" x14ac:dyDescent="0.25">
      <c r="A1028" s="28">
        <f t="shared" si="24"/>
        <v>976</v>
      </c>
      <c r="B1028" s="33" t="s">
        <v>1642</v>
      </c>
      <c r="C1028" s="33" t="s">
        <v>1643</v>
      </c>
      <c r="D1028" s="28" t="s">
        <v>1384</v>
      </c>
      <c r="E1028" s="28">
        <v>4200</v>
      </c>
      <c r="F1028" s="5"/>
      <c r="G1028" s="17"/>
    </row>
    <row r="1029" spans="1:7" s="4" customFormat="1" ht="15.75" customHeight="1" x14ac:dyDescent="0.25">
      <c r="A1029" s="28">
        <f t="shared" si="24"/>
        <v>977</v>
      </c>
      <c r="B1029" s="33" t="s">
        <v>1644</v>
      </c>
      <c r="C1029" s="33" t="s">
        <v>1645</v>
      </c>
      <c r="D1029" s="28" t="s">
        <v>1384</v>
      </c>
      <c r="E1029" s="28">
        <v>3840</v>
      </c>
      <c r="F1029" s="5"/>
      <c r="G1029" s="17"/>
    </row>
    <row r="1030" spans="1:7" s="4" customFormat="1" ht="15.75" customHeight="1" x14ac:dyDescent="0.25">
      <c r="A1030" s="28">
        <f t="shared" si="24"/>
        <v>978</v>
      </c>
      <c r="B1030" s="33" t="s">
        <v>1646</v>
      </c>
      <c r="C1030" s="33" t="s">
        <v>1647</v>
      </c>
      <c r="D1030" s="28" t="s">
        <v>1384</v>
      </c>
      <c r="E1030" s="28">
        <v>3840</v>
      </c>
      <c r="F1030" s="5"/>
      <c r="G1030" s="17"/>
    </row>
    <row r="1031" spans="1:7" s="4" customFormat="1" ht="18.75" x14ac:dyDescent="0.25">
      <c r="A1031" s="28">
        <f t="shared" si="24"/>
        <v>979</v>
      </c>
      <c r="B1031" s="33" t="s">
        <v>1648</v>
      </c>
      <c r="C1031" s="33" t="s">
        <v>1649</v>
      </c>
      <c r="D1031" s="28" t="s">
        <v>1384</v>
      </c>
      <c r="E1031" s="28">
        <v>2400</v>
      </c>
      <c r="F1031" s="5"/>
      <c r="G1031" s="17"/>
    </row>
    <row r="1032" spans="1:7" s="4" customFormat="1" ht="18.75" x14ac:dyDescent="0.25">
      <c r="A1032" s="28">
        <f t="shared" si="24"/>
        <v>980</v>
      </c>
      <c r="B1032" s="33" t="s">
        <v>1650</v>
      </c>
      <c r="C1032" s="33" t="s">
        <v>1651</v>
      </c>
      <c r="D1032" s="28" t="s">
        <v>1384</v>
      </c>
      <c r="E1032" s="28">
        <v>1680</v>
      </c>
      <c r="F1032" s="5"/>
      <c r="G1032" s="17"/>
    </row>
    <row r="1033" spans="1:7" s="4" customFormat="1" ht="18.75" x14ac:dyDescent="0.25">
      <c r="A1033" s="28">
        <f t="shared" si="24"/>
        <v>981</v>
      </c>
      <c r="B1033" s="33" t="s">
        <v>1652</v>
      </c>
      <c r="C1033" s="33" t="s">
        <v>1653</v>
      </c>
      <c r="D1033" s="28" t="s">
        <v>1384</v>
      </c>
      <c r="E1033" s="28">
        <v>2040</v>
      </c>
      <c r="F1033" s="5"/>
      <c r="G1033" s="17"/>
    </row>
    <row r="1034" spans="1:7" s="4" customFormat="1" ht="18.75" x14ac:dyDescent="0.25">
      <c r="A1034" s="28">
        <f t="shared" si="24"/>
        <v>982</v>
      </c>
      <c r="B1034" s="33" t="s">
        <v>1654</v>
      </c>
      <c r="C1034" s="33" t="s">
        <v>1655</v>
      </c>
      <c r="D1034" s="28" t="s">
        <v>1384</v>
      </c>
      <c r="E1034" s="28">
        <v>2040</v>
      </c>
      <c r="F1034" s="5"/>
      <c r="G1034" s="17"/>
    </row>
    <row r="1035" spans="1:7" s="4" customFormat="1" ht="18.75" x14ac:dyDescent="0.25">
      <c r="A1035" s="28">
        <f t="shared" si="24"/>
        <v>983</v>
      </c>
      <c r="B1035" s="33" t="s">
        <v>1656</v>
      </c>
      <c r="C1035" s="33" t="s">
        <v>1657</v>
      </c>
      <c r="D1035" s="28" t="s">
        <v>1384</v>
      </c>
      <c r="E1035" s="28">
        <v>2040</v>
      </c>
      <c r="F1035" s="5"/>
      <c r="G1035" s="17"/>
    </row>
    <row r="1036" spans="1:7" s="4" customFormat="1" ht="18.75" x14ac:dyDescent="0.25">
      <c r="A1036" s="28">
        <f t="shared" si="24"/>
        <v>984</v>
      </c>
      <c r="B1036" s="33" t="s">
        <v>1658</v>
      </c>
      <c r="C1036" s="33" t="s">
        <v>1659</v>
      </c>
      <c r="D1036" s="28" t="s">
        <v>1384</v>
      </c>
      <c r="E1036" s="28">
        <v>1680</v>
      </c>
      <c r="F1036" s="5"/>
      <c r="G1036" s="17"/>
    </row>
    <row r="1037" spans="1:7" s="4" customFormat="1" ht="18.75" x14ac:dyDescent="0.25">
      <c r="A1037" s="28">
        <f t="shared" si="24"/>
        <v>985</v>
      </c>
      <c r="B1037" s="33" t="s">
        <v>1660</v>
      </c>
      <c r="C1037" s="33" t="s">
        <v>1661</v>
      </c>
      <c r="D1037" s="28" t="s">
        <v>1384</v>
      </c>
      <c r="E1037" s="28">
        <v>2280</v>
      </c>
      <c r="F1037" s="5"/>
      <c r="G1037" s="17"/>
    </row>
    <row r="1038" spans="1:7" s="4" customFormat="1" ht="18.75" x14ac:dyDescent="0.25">
      <c r="A1038" s="28">
        <f t="shared" si="24"/>
        <v>986</v>
      </c>
      <c r="B1038" s="33" t="s">
        <v>1662</v>
      </c>
      <c r="C1038" s="33" t="s">
        <v>1663</v>
      </c>
      <c r="D1038" s="28" t="s">
        <v>1384</v>
      </c>
      <c r="E1038" s="28">
        <v>1680</v>
      </c>
      <c r="F1038" s="5"/>
      <c r="G1038" s="17"/>
    </row>
    <row r="1039" spans="1:7" s="4" customFormat="1" ht="25.5" x14ac:dyDescent="0.25">
      <c r="A1039" s="28">
        <f t="shared" si="24"/>
        <v>987</v>
      </c>
      <c r="B1039" s="33" t="s">
        <v>1664</v>
      </c>
      <c r="C1039" s="33" t="s">
        <v>1665</v>
      </c>
      <c r="D1039" s="55" t="s">
        <v>490</v>
      </c>
      <c r="E1039" s="28">
        <v>3000</v>
      </c>
      <c r="F1039" s="5"/>
      <c r="G1039" s="17"/>
    </row>
    <row r="1040" spans="1:7" s="4" customFormat="1" ht="18.75" x14ac:dyDescent="0.25">
      <c r="A1040" s="28">
        <f t="shared" si="24"/>
        <v>988</v>
      </c>
      <c r="B1040" s="29" t="s">
        <v>1666</v>
      </c>
      <c r="C1040" s="47" t="s">
        <v>1667</v>
      </c>
      <c r="D1040" s="47" t="s">
        <v>490</v>
      </c>
      <c r="E1040" s="28">
        <v>4200</v>
      </c>
      <c r="F1040" s="5"/>
      <c r="G1040" s="17"/>
    </row>
    <row r="1041" spans="1:7" s="4" customFormat="1" ht="18.75" x14ac:dyDescent="0.25">
      <c r="A1041" s="28">
        <f>A1040+1</f>
        <v>989</v>
      </c>
      <c r="B1041" s="29" t="s">
        <v>1668</v>
      </c>
      <c r="C1041" s="47" t="s">
        <v>1669</v>
      </c>
      <c r="D1041" s="47" t="s">
        <v>490</v>
      </c>
      <c r="E1041" s="28">
        <v>3600</v>
      </c>
      <c r="F1041" s="5"/>
      <c r="G1041" s="17"/>
    </row>
    <row r="1042" spans="1:7" s="4" customFormat="1" ht="25.5" x14ac:dyDescent="0.25">
      <c r="A1042" s="28">
        <f>A1041+1</f>
        <v>990</v>
      </c>
      <c r="B1042" s="46" t="s">
        <v>1670</v>
      </c>
      <c r="C1042" s="47" t="s">
        <v>1671</v>
      </c>
      <c r="D1042" s="47" t="s">
        <v>490</v>
      </c>
      <c r="E1042" s="28">
        <v>6120</v>
      </c>
      <c r="F1042" s="5"/>
      <c r="G1042" s="17"/>
    </row>
    <row r="1043" spans="1:7" s="4" customFormat="1" ht="18.75" x14ac:dyDescent="0.25">
      <c r="A1043" s="28">
        <f>A1042+1</f>
        <v>991</v>
      </c>
      <c r="B1043" s="46" t="s">
        <v>1672</v>
      </c>
      <c r="C1043" s="47"/>
      <c r="D1043" s="47" t="s">
        <v>490</v>
      </c>
      <c r="E1043" s="28">
        <v>9720</v>
      </c>
      <c r="F1043" s="5"/>
      <c r="G1043" s="17"/>
    </row>
    <row r="1044" spans="1:7" s="4" customFormat="1" ht="18.75" customHeight="1" x14ac:dyDescent="0.25">
      <c r="A1044" s="136" t="s">
        <v>1673</v>
      </c>
      <c r="B1044" s="137"/>
      <c r="C1044" s="137"/>
      <c r="D1044" s="137"/>
      <c r="E1044" s="138"/>
      <c r="F1044" s="5"/>
      <c r="G1044" s="17"/>
    </row>
    <row r="1045" spans="1:7" s="4" customFormat="1" ht="25.5" x14ac:dyDescent="0.25">
      <c r="A1045" s="28">
        <f>A1043+1</f>
        <v>992</v>
      </c>
      <c r="B1045" s="33" t="s">
        <v>1674</v>
      </c>
      <c r="C1045" s="33" t="s">
        <v>1675</v>
      </c>
      <c r="D1045" s="28" t="s">
        <v>1384</v>
      </c>
      <c r="E1045" s="28">
        <v>3600</v>
      </c>
      <c r="F1045" s="5"/>
      <c r="G1045" s="17"/>
    </row>
    <row r="1046" spans="1:7" s="4" customFormat="1" ht="38.25" x14ac:dyDescent="0.25">
      <c r="A1046" s="28">
        <f>A1045+1</f>
        <v>993</v>
      </c>
      <c r="B1046" s="33" t="s">
        <v>1676</v>
      </c>
      <c r="C1046" s="33" t="s">
        <v>1677</v>
      </c>
      <c r="D1046" s="28" t="s">
        <v>1384</v>
      </c>
      <c r="E1046" s="28">
        <v>2400</v>
      </c>
      <c r="F1046" s="5"/>
      <c r="G1046" s="17"/>
    </row>
    <row r="1047" spans="1:7" s="4" customFormat="1" ht="18.75" x14ac:dyDescent="0.25">
      <c r="A1047" s="28">
        <f t="shared" ref="A1047:A1060" si="25">A1046+1</f>
        <v>994</v>
      </c>
      <c r="B1047" s="33" t="s">
        <v>1678</v>
      </c>
      <c r="C1047" s="33" t="s">
        <v>1679</v>
      </c>
      <c r="D1047" s="28" t="s">
        <v>1384</v>
      </c>
      <c r="E1047" s="28">
        <v>1440</v>
      </c>
      <c r="F1047" s="5"/>
      <c r="G1047" s="17"/>
    </row>
    <row r="1048" spans="1:7" s="4" customFormat="1" ht="18.75" x14ac:dyDescent="0.25">
      <c r="A1048" s="28">
        <f t="shared" si="25"/>
        <v>995</v>
      </c>
      <c r="B1048" s="33" t="s">
        <v>1680</v>
      </c>
      <c r="C1048" s="33" t="s">
        <v>1681</v>
      </c>
      <c r="D1048" s="28" t="s">
        <v>1384</v>
      </c>
      <c r="E1048" s="28">
        <v>1200</v>
      </c>
      <c r="F1048" s="5"/>
      <c r="G1048" s="17"/>
    </row>
    <row r="1049" spans="1:7" s="4" customFormat="1" ht="18.75" x14ac:dyDescent="0.25">
      <c r="A1049" s="28">
        <f t="shared" si="25"/>
        <v>996</v>
      </c>
      <c r="B1049" s="33" t="s">
        <v>1682</v>
      </c>
      <c r="C1049" s="33" t="s">
        <v>1683</v>
      </c>
      <c r="D1049" s="28" t="s">
        <v>1384</v>
      </c>
      <c r="E1049" s="28">
        <v>3000</v>
      </c>
      <c r="F1049" s="5"/>
      <c r="G1049" s="17"/>
    </row>
    <row r="1050" spans="1:7" s="4" customFormat="1" ht="18.75" x14ac:dyDescent="0.25">
      <c r="A1050" s="28">
        <f t="shared" si="25"/>
        <v>997</v>
      </c>
      <c r="B1050" s="33" t="s">
        <v>1684</v>
      </c>
      <c r="C1050" s="33" t="s">
        <v>1685</v>
      </c>
      <c r="D1050" s="28" t="s">
        <v>1384</v>
      </c>
      <c r="E1050" s="28">
        <v>1560</v>
      </c>
      <c r="F1050" s="5"/>
      <c r="G1050" s="17"/>
    </row>
    <row r="1051" spans="1:7" s="4" customFormat="1" ht="18.75" x14ac:dyDescent="0.25">
      <c r="A1051" s="28">
        <f t="shared" si="25"/>
        <v>998</v>
      </c>
      <c r="B1051" s="33" t="s">
        <v>1686</v>
      </c>
      <c r="C1051" s="33" t="s">
        <v>1687</v>
      </c>
      <c r="D1051" s="28" t="s">
        <v>1384</v>
      </c>
      <c r="E1051" s="28">
        <v>1320</v>
      </c>
      <c r="F1051" s="5"/>
      <c r="G1051" s="17"/>
    </row>
    <row r="1052" spans="1:7" s="4" customFormat="1" ht="18.75" x14ac:dyDescent="0.25">
      <c r="A1052" s="28">
        <f t="shared" si="25"/>
        <v>999</v>
      </c>
      <c r="B1052" s="33" t="s">
        <v>1688</v>
      </c>
      <c r="C1052" s="33" t="s">
        <v>1689</v>
      </c>
      <c r="D1052" s="28" t="s">
        <v>1384</v>
      </c>
      <c r="E1052" s="28">
        <v>2040</v>
      </c>
      <c r="F1052" s="5"/>
      <c r="G1052" s="17"/>
    </row>
    <row r="1053" spans="1:7" s="4" customFormat="1" ht="25.5" x14ac:dyDescent="0.25">
      <c r="A1053" s="28">
        <f t="shared" si="25"/>
        <v>1000</v>
      </c>
      <c r="B1053" s="33" t="s">
        <v>1690</v>
      </c>
      <c r="C1053" s="33" t="s">
        <v>1691</v>
      </c>
      <c r="D1053" s="28" t="s">
        <v>1384</v>
      </c>
      <c r="E1053" s="28">
        <v>1440</v>
      </c>
      <c r="F1053" s="5"/>
      <c r="G1053" s="17"/>
    </row>
    <row r="1054" spans="1:7" s="4" customFormat="1" ht="25.5" x14ac:dyDescent="0.25">
      <c r="A1054" s="28">
        <f t="shared" si="25"/>
        <v>1001</v>
      </c>
      <c r="B1054" s="33" t="s">
        <v>1692</v>
      </c>
      <c r="C1054" s="33" t="s">
        <v>1693</v>
      </c>
      <c r="D1054" s="28" t="s">
        <v>1384</v>
      </c>
      <c r="E1054" s="28">
        <v>1800</v>
      </c>
      <c r="F1054" s="5"/>
      <c r="G1054" s="17"/>
    </row>
    <row r="1055" spans="1:7" s="4" customFormat="1" ht="25.5" x14ac:dyDescent="0.25">
      <c r="A1055" s="28">
        <f t="shared" si="25"/>
        <v>1002</v>
      </c>
      <c r="B1055" s="33" t="s">
        <v>1694</v>
      </c>
      <c r="C1055" s="33" t="s">
        <v>1695</v>
      </c>
      <c r="D1055" s="28" t="s">
        <v>1384</v>
      </c>
      <c r="E1055" s="28">
        <v>4440</v>
      </c>
      <c r="F1055" s="5"/>
      <c r="G1055" s="17"/>
    </row>
    <row r="1056" spans="1:7" s="4" customFormat="1" ht="25.5" x14ac:dyDescent="0.25">
      <c r="A1056" s="28">
        <f t="shared" si="25"/>
        <v>1003</v>
      </c>
      <c r="B1056" s="33" t="s">
        <v>1696</v>
      </c>
      <c r="C1056" s="33" t="s">
        <v>1697</v>
      </c>
      <c r="D1056" s="28" t="s">
        <v>1384</v>
      </c>
      <c r="E1056" s="28">
        <v>2760</v>
      </c>
      <c r="F1056" s="5"/>
      <c r="G1056" s="17"/>
    </row>
    <row r="1057" spans="1:7" s="4" customFormat="1" ht="25.5" x14ac:dyDescent="0.25">
      <c r="A1057" s="28">
        <f t="shared" si="25"/>
        <v>1004</v>
      </c>
      <c r="B1057" s="33" t="s">
        <v>1698</v>
      </c>
      <c r="C1057" s="33" t="s">
        <v>1699</v>
      </c>
      <c r="D1057" s="28" t="s">
        <v>1384</v>
      </c>
      <c r="E1057" s="28">
        <v>3240</v>
      </c>
      <c r="F1057" s="5"/>
      <c r="G1057" s="17"/>
    </row>
    <row r="1058" spans="1:7" s="4" customFormat="1" ht="25.5" x14ac:dyDescent="0.25">
      <c r="A1058" s="28">
        <f t="shared" si="25"/>
        <v>1005</v>
      </c>
      <c r="B1058" s="33" t="s">
        <v>1700</v>
      </c>
      <c r="C1058" s="33" t="s">
        <v>1701</v>
      </c>
      <c r="D1058" s="28" t="s">
        <v>1384</v>
      </c>
      <c r="E1058" s="28">
        <v>3720</v>
      </c>
      <c r="F1058" s="5"/>
      <c r="G1058" s="17"/>
    </row>
    <row r="1059" spans="1:7" s="4" customFormat="1" ht="25.5" x14ac:dyDescent="0.25">
      <c r="A1059" s="28">
        <f t="shared" si="25"/>
        <v>1006</v>
      </c>
      <c r="B1059" s="33" t="s">
        <v>1702</v>
      </c>
      <c r="C1059" s="33" t="s">
        <v>382</v>
      </c>
      <c r="D1059" s="28" t="s">
        <v>1384</v>
      </c>
      <c r="E1059" s="28">
        <v>2280</v>
      </c>
      <c r="F1059" s="5"/>
      <c r="G1059" s="17"/>
    </row>
    <row r="1060" spans="1:7" s="4" customFormat="1" ht="25.5" x14ac:dyDescent="0.25">
      <c r="A1060" s="28">
        <f t="shared" si="25"/>
        <v>1007</v>
      </c>
      <c r="B1060" s="33" t="s">
        <v>1703</v>
      </c>
      <c r="C1060" s="33" t="s">
        <v>1704</v>
      </c>
      <c r="D1060" s="28" t="s">
        <v>1384</v>
      </c>
      <c r="E1060" s="28">
        <v>2280</v>
      </c>
      <c r="F1060" s="5"/>
      <c r="G1060" s="17"/>
    </row>
    <row r="1061" spans="1:7" s="4" customFormat="1" ht="18.75" customHeight="1" x14ac:dyDescent="0.25">
      <c r="A1061" s="136" t="s">
        <v>1705</v>
      </c>
      <c r="B1061" s="137"/>
      <c r="C1061" s="137"/>
      <c r="D1061" s="137"/>
      <c r="E1061" s="138"/>
      <c r="F1061" s="5"/>
      <c r="G1061" s="17"/>
    </row>
    <row r="1062" spans="1:7" s="4" customFormat="1" ht="25.5" x14ac:dyDescent="0.25">
      <c r="A1062" s="28">
        <f>A1060+1</f>
        <v>1008</v>
      </c>
      <c r="B1062" s="33" t="s">
        <v>1706</v>
      </c>
      <c r="C1062" s="33" t="s">
        <v>1707</v>
      </c>
      <c r="D1062" s="28" t="s">
        <v>1384</v>
      </c>
      <c r="E1062" s="28">
        <v>2640</v>
      </c>
      <c r="F1062" s="5"/>
      <c r="G1062" s="17"/>
    </row>
    <row r="1063" spans="1:7" s="4" customFormat="1" ht="25.5" x14ac:dyDescent="0.25">
      <c r="A1063" s="28">
        <f>A1062+1</f>
        <v>1009</v>
      </c>
      <c r="B1063" s="33" t="s">
        <v>1708</v>
      </c>
      <c r="C1063" s="33" t="s">
        <v>1709</v>
      </c>
      <c r="D1063" s="28" t="s">
        <v>1384</v>
      </c>
      <c r="E1063" s="28">
        <v>2880</v>
      </c>
      <c r="F1063" s="5"/>
      <c r="G1063" s="17"/>
    </row>
    <row r="1064" spans="1:7" s="4" customFormat="1" ht="25.5" x14ac:dyDescent="0.25">
      <c r="A1064" s="28">
        <f t="shared" ref="A1064:A1071" si="26">A1063+1</f>
        <v>1010</v>
      </c>
      <c r="B1064" s="33" t="s">
        <v>1710</v>
      </c>
      <c r="C1064" s="33" t="s">
        <v>1711</v>
      </c>
      <c r="D1064" s="28" t="s">
        <v>1384</v>
      </c>
      <c r="E1064" s="28">
        <v>1320</v>
      </c>
      <c r="F1064" s="5"/>
      <c r="G1064" s="17"/>
    </row>
    <row r="1065" spans="1:7" s="4" customFormat="1" ht="18.75" x14ac:dyDescent="0.25">
      <c r="A1065" s="28">
        <f t="shared" si="26"/>
        <v>1011</v>
      </c>
      <c r="B1065" s="33" t="s">
        <v>1712</v>
      </c>
      <c r="C1065" s="33" t="s">
        <v>1713</v>
      </c>
      <c r="D1065" s="28" t="s">
        <v>1384</v>
      </c>
      <c r="E1065" s="28">
        <v>1440</v>
      </c>
      <c r="F1065" s="5"/>
      <c r="G1065" s="17"/>
    </row>
    <row r="1066" spans="1:7" s="4" customFormat="1" ht="18.75" x14ac:dyDescent="0.25">
      <c r="A1066" s="28">
        <f t="shared" si="26"/>
        <v>1012</v>
      </c>
      <c r="B1066" s="33" t="s">
        <v>1714</v>
      </c>
      <c r="C1066" s="33" t="s">
        <v>1715</v>
      </c>
      <c r="D1066" s="28" t="s">
        <v>1384</v>
      </c>
      <c r="E1066" s="28">
        <v>1440</v>
      </c>
      <c r="F1066" s="5"/>
      <c r="G1066" s="17"/>
    </row>
    <row r="1067" spans="1:7" s="4" customFormat="1" ht="25.5" x14ac:dyDescent="0.25">
      <c r="A1067" s="28">
        <f t="shared" si="26"/>
        <v>1013</v>
      </c>
      <c r="B1067" s="33" t="s">
        <v>1716</v>
      </c>
      <c r="C1067" s="33" t="s">
        <v>1717</v>
      </c>
      <c r="D1067" s="28" t="s">
        <v>1384</v>
      </c>
      <c r="E1067" s="28">
        <v>3960</v>
      </c>
      <c r="F1067" s="5"/>
      <c r="G1067" s="17"/>
    </row>
    <row r="1068" spans="1:7" s="4" customFormat="1" ht="18.75" x14ac:dyDescent="0.25">
      <c r="A1068" s="28">
        <f t="shared" si="26"/>
        <v>1014</v>
      </c>
      <c r="B1068" s="33" t="s">
        <v>1718</v>
      </c>
      <c r="C1068" s="33" t="s">
        <v>1719</v>
      </c>
      <c r="D1068" s="28" t="s">
        <v>1384</v>
      </c>
      <c r="E1068" s="28">
        <v>3480</v>
      </c>
      <c r="F1068" s="5"/>
      <c r="G1068" s="17"/>
    </row>
    <row r="1069" spans="1:7" s="4" customFormat="1" ht="25.5" x14ac:dyDescent="0.25">
      <c r="A1069" s="28">
        <f t="shared" si="26"/>
        <v>1015</v>
      </c>
      <c r="B1069" s="33" t="s">
        <v>1720</v>
      </c>
      <c r="C1069" s="33" t="s">
        <v>1721</v>
      </c>
      <c r="D1069" s="28" t="s">
        <v>1384</v>
      </c>
      <c r="E1069" s="28">
        <v>2640</v>
      </c>
      <c r="F1069" s="5"/>
      <c r="G1069" s="17"/>
    </row>
    <row r="1070" spans="1:7" s="4" customFormat="1" ht="25.5" x14ac:dyDescent="0.25">
      <c r="A1070" s="28">
        <f t="shared" si="26"/>
        <v>1016</v>
      </c>
      <c r="B1070" s="33" t="s">
        <v>1722</v>
      </c>
      <c r="C1070" s="33" t="s">
        <v>1723</v>
      </c>
      <c r="D1070" s="28" t="s">
        <v>1384</v>
      </c>
      <c r="E1070" s="28">
        <v>2520</v>
      </c>
      <c r="F1070" s="5"/>
      <c r="G1070" s="17"/>
    </row>
    <row r="1071" spans="1:7" s="4" customFormat="1" ht="18.75" x14ac:dyDescent="0.25">
      <c r="A1071" s="28">
        <f t="shared" si="26"/>
        <v>1017</v>
      </c>
      <c r="B1071" s="33" t="s">
        <v>1724</v>
      </c>
      <c r="C1071" s="33" t="s">
        <v>1725</v>
      </c>
      <c r="D1071" s="28" t="s">
        <v>1384</v>
      </c>
      <c r="E1071" s="28">
        <v>1320</v>
      </c>
      <c r="F1071" s="5"/>
      <c r="G1071" s="17"/>
    </row>
    <row r="1072" spans="1:7" s="4" customFormat="1" ht="18.75" customHeight="1" x14ac:dyDescent="0.25">
      <c r="A1072" s="136" t="s">
        <v>1726</v>
      </c>
      <c r="B1072" s="137"/>
      <c r="C1072" s="137"/>
      <c r="D1072" s="137"/>
      <c r="E1072" s="138"/>
      <c r="F1072" s="5"/>
      <c r="G1072" s="17"/>
    </row>
    <row r="1073" spans="1:7" s="4" customFormat="1" ht="51" x14ac:dyDescent="0.25">
      <c r="A1073" s="28">
        <f>A1071+1</f>
        <v>1018</v>
      </c>
      <c r="B1073" s="33" t="s">
        <v>1727</v>
      </c>
      <c r="C1073" s="33" t="s">
        <v>1728</v>
      </c>
      <c r="D1073" s="28" t="s">
        <v>1384</v>
      </c>
      <c r="E1073" s="28">
        <v>3960</v>
      </c>
      <c r="F1073" s="5"/>
      <c r="G1073" s="17"/>
    </row>
    <row r="1074" spans="1:7" s="4" customFormat="1" ht="38.25" x14ac:dyDescent="0.25">
      <c r="A1074" s="28">
        <f>A1073+1</f>
        <v>1019</v>
      </c>
      <c r="B1074" s="33" t="s">
        <v>1729</v>
      </c>
      <c r="C1074" s="33" t="s">
        <v>1730</v>
      </c>
      <c r="D1074" s="28" t="s">
        <v>1384</v>
      </c>
      <c r="E1074" s="28">
        <v>3240</v>
      </c>
      <c r="F1074" s="5"/>
      <c r="G1074" s="17"/>
    </row>
    <row r="1075" spans="1:7" s="4" customFormat="1" ht="18.75" x14ac:dyDescent="0.25">
      <c r="A1075" s="28">
        <f t="shared" ref="A1075:A1081" si="27">A1074+1</f>
        <v>1020</v>
      </c>
      <c r="B1075" s="33" t="s">
        <v>1731</v>
      </c>
      <c r="C1075" s="33" t="s">
        <v>1732</v>
      </c>
      <c r="D1075" s="28" t="s">
        <v>1384</v>
      </c>
      <c r="E1075" s="28">
        <v>3240</v>
      </c>
      <c r="F1075" s="5"/>
      <c r="G1075" s="17"/>
    </row>
    <row r="1076" spans="1:7" s="4" customFormat="1" ht="25.5" x14ac:dyDescent="0.25">
      <c r="A1076" s="28">
        <f t="shared" si="27"/>
        <v>1021</v>
      </c>
      <c r="B1076" s="33" t="s">
        <v>1733</v>
      </c>
      <c r="C1076" s="33" t="s">
        <v>1734</v>
      </c>
      <c r="D1076" s="28" t="s">
        <v>1384</v>
      </c>
      <c r="E1076" s="28">
        <v>3240</v>
      </c>
      <c r="F1076" s="5"/>
      <c r="G1076" s="17"/>
    </row>
    <row r="1077" spans="1:7" s="4" customFormat="1" ht="25.5" x14ac:dyDescent="0.25">
      <c r="A1077" s="28">
        <f t="shared" si="27"/>
        <v>1022</v>
      </c>
      <c r="B1077" s="33" t="s">
        <v>1735</v>
      </c>
      <c r="C1077" s="33" t="s">
        <v>1736</v>
      </c>
      <c r="D1077" s="28" t="s">
        <v>1384</v>
      </c>
      <c r="E1077" s="28">
        <v>5280</v>
      </c>
      <c r="F1077" s="5"/>
      <c r="G1077" s="17"/>
    </row>
    <row r="1078" spans="1:7" s="4" customFormat="1" ht="25.5" x14ac:dyDescent="0.25">
      <c r="A1078" s="28">
        <f t="shared" si="27"/>
        <v>1023</v>
      </c>
      <c r="B1078" s="33" t="s">
        <v>1737</v>
      </c>
      <c r="C1078" s="33" t="s">
        <v>1738</v>
      </c>
      <c r="D1078" s="28" t="s">
        <v>1384</v>
      </c>
      <c r="E1078" s="28">
        <v>7560</v>
      </c>
      <c r="F1078" s="5"/>
      <c r="G1078" s="17"/>
    </row>
    <row r="1079" spans="1:7" s="62" customFormat="1" ht="25.5" x14ac:dyDescent="0.25">
      <c r="A1079" s="28">
        <f t="shared" si="27"/>
        <v>1024</v>
      </c>
      <c r="B1079" s="33" t="s">
        <v>1739</v>
      </c>
      <c r="C1079" s="33" t="s">
        <v>1740</v>
      </c>
      <c r="D1079" s="28" t="s">
        <v>1384</v>
      </c>
      <c r="E1079" s="28">
        <v>11280</v>
      </c>
      <c r="F1079" s="60"/>
      <c r="G1079" s="61"/>
    </row>
    <row r="1080" spans="1:7" s="62" customFormat="1" ht="12.75" x14ac:dyDescent="0.25">
      <c r="A1080" s="28">
        <f t="shared" si="27"/>
        <v>1025</v>
      </c>
      <c r="B1080" s="33" t="s">
        <v>1741</v>
      </c>
      <c r="C1080" s="33" t="s">
        <v>1742</v>
      </c>
      <c r="D1080" s="28" t="s">
        <v>1384</v>
      </c>
      <c r="E1080" s="28">
        <v>5160</v>
      </c>
      <c r="F1080" s="60"/>
      <c r="G1080" s="61"/>
    </row>
    <row r="1081" spans="1:7" s="62" customFormat="1" ht="25.5" x14ac:dyDescent="0.25">
      <c r="A1081" s="28">
        <f t="shared" si="27"/>
        <v>1026</v>
      </c>
      <c r="B1081" s="33" t="s">
        <v>1743</v>
      </c>
      <c r="C1081" s="33" t="s">
        <v>1744</v>
      </c>
      <c r="D1081" s="28" t="s">
        <v>1384</v>
      </c>
      <c r="E1081" s="28">
        <v>2040</v>
      </c>
      <c r="F1081" s="60"/>
      <c r="G1081" s="61"/>
    </row>
    <row r="1082" spans="1:7" s="62" customFormat="1" ht="18.75" customHeight="1" x14ac:dyDescent="0.25">
      <c r="A1082" s="136" t="s">
        <v>1745</v>
      </c>
      <c r="B1082" s="137"/>
      <c r="C1082" s="137"/>
      <c r="D1082" s="137"/>
      <c r="E1082" s="138"/>
      <c r="F1082" s="60"/>
      <c r="G1082" s="61"/>
    </row>
    <row r="1083" spans="1:7" s="62" customFormat="1" ht="25.5" x14ac:dyDescent="0.25">
      <c r="A1083" s="28">
        <f>A1081+1</f>
        <v>1027</v>
      </c>
      <c r="B1083" s="33" t="s">
        <v>1746</v>
      </c>
      <c r="C1083" s="33" t="s">
        <v>1747</v>
      </c>
      <c r="D1083" s="28" t="s">
        <v>1384</v>
      </c>
      <c r="E1083" s="28">
        <v>6480</v>
      </c>
      <c r="F1083" s="60"/>
      <c r="G1083" s="61"/>
    </row>
    <row r="1084" spans="1:7" s="62" customFormat="1" ht="25.5" x14ac:dyDescent="0.25">
      <c r="A1084" s="28">
        <f>A1083+1</f>
        <v>1028</v>
      </c>
      <c r="B1084" s="33" t="s">
        <v>1748</v>
      </c>
      <c r="C1084" s="33" t="s">
        <v>1749</v>
      </c>
      <c r="D1084" s="28" t="s">
        <v>1384</v>
      </c>
      <c r="E1084" s="28">
        <v>5160</v>
      </c>
      <c r="F1084" s="60"/>
      <c r="G1084" s="61"/>
    </row>
    <row r="1085" spans="1:7" s="62" customFormat="1" ht="12.75" x14ac:dyDescent="0.25">
      <c r="A1085" s="28">
        <f t="shared" ref="A1085:A1117" si="28">A1084+1</f>
        <v>1029</v>
      </c>
      <c r="B1085" s="33" t="s">
        <v>3173</v>
      </c>
      <c r="C1085" s="33" t="s">
        <v>1750</v>
      </c>
      <c r="D1085" s="28" t="s">
        <v>1384</v>
      </c>
      <c r="E1085" s="28">
        <v>5880</v>
      </c>
      <c r="F1085" s="60"/>
      <c r="G1085" s="61"/>
    </row>
    <row r="1086" spans="1:7" s="62" customFormat="1" ht="12.75" x14ac:dyDescent="0.25">
      <c r="A1086" s="28">
        <f t="shared" si="28"/>
        <v>1030</v>
      </c>
      <c r="B1086" s="33" t="s">
        <v>3175</v>
      </c>
      <c r="C1086" s="121" t="s">
        <v>3176</v>
      </c>
      <c r="D1086" s="28" t="s">
        <v>1384</v>
      </c>
      <c r="E1086" s="28">
        <v>7824</v>
      </c>
      <c r="F1086" s="60"/>
      <c r="G1086" s="61"/>
    </row>
    <row r="1087" spans="1:7" s="62" customFormat="1" ht="25.5" x14ac:dyDescent="0.25">
      <c r="A1087" s="28">
        <f t="shared" si="28"/>
        <v>1031</v>
      </c>
      <c r="B1087" s="33" t="s">
        <v>1751</v>
      </c>
      <c r="C1087" s="33" t="s">
        <v>1752</v>
      </c>
      <c r="D1087" s="28" t="s">
        <v>1384</v>
      </c>
      <c r="E1087" s="28">
        <v>5880</v>
      </c>
      <c r="F1087" s="60"/>
      <c r="G1087" s="61"/>
    </row>
    <row r="1088" spans="1:7" s="62" customFormat="1" ht="25.5" x14ac:dyDescent="0.25">
      <c r="A1088" s="28">
        <f t="shared" si="28"/>
        <v>1032</v>
      </c>
      <c r="B1088" s="33" t="s">
        <v>1753</v>
      </c>
      <c r="C1088" s="33" t="s">
        <v>1754</v>
      </c>
      <c r="D1088" s="28" t="s">
        <v>1384</v>
      </c>
      <c r="E1088" s="28">
        <v>5160</v>
      </c>
      <c r="F1088" s="60"/>
      <c r="G1088" s="61"/>
    </row>
    <row r="1089" spans="1:7" s="62" customFormat="1" ht="25.5" x14ac:dyDescent="0.25">
      <c r="A1089" s="28">
        <f t="shared" si="28"/>
        <v>1033</v>
      </c>
      <c r="B1089" s="33" t="s">
        <v>1755</v>
      </c>
      <c r="C1089" s="33" t="s">
        <v>1756</v>
      </c>
      <c r="D1089" s="28" t="s">
        <v>1384</v>
      </c>
      <c r="E1089" s="28">
        <v>6480</v>
      </c>
      <c r="F1089" s="60"/>
      <c r="G1089" s="61"/>
    </row>
    <row r="1090" spans="1:7" s="62" customFormat="1" ht="25.5" x14ac:dyDescent="0.25">
      <c r="A1090" s="28">
        <f t="shared" si="28"/>
        <v>1034</v>
      </c>
      <c r="B1090" s="33" t="s">
        <v>1757</v>
      </c>
      <c r="C1090" s="33" t="s">
        <v>1758</v>
      </c>
      <c r="D1090" s="28" t="s">
        <v>1384</v>
      </c>
      <c r="E1090" s="28">
        <v>5400</v>
      </c>
      <c r="F1090" s="60"/>
      <c r="G1090" s="61"/>
    </row>
    <row r="1091" spans="1:7" s="62" customFormat="1" ht="25.5" x14ac:dyDescent="0.25">
      <c r="A1091" s="28">
        <f t="shared" si="28"/>
        <v>1035</v>
      </c>
      <c r="B1091" s="33" t="s">
        <v>1759</v>
      </c>
      <c r="C1091" s="33" t="s">
        <v>1760</v>
      </c>
      <c r="D1091" s="28" t="s">
        <v>1384</v>
      </c>
      <c r="E1091" s="28">
        <v>7560</v>
      </c>
      <c r="F1091" s="60"/>
      <c r="G1091" s="61"/>
    </row>
    <row r="1092" spans="1:7" s="62" customFormat="1" ht="25.5" x14ac:dyDescent="0.25">
      <c r="A1092" s="28">
        <f t="shared" si="28"/>
        <v>1036</v>
      </c>
      <c r="B1092" s="33" t="s">
        <v>1761</v>
      </c>
      <c r="C1092" s="33" t="s">
        <v>1762</v>
      </c>
      <c r="D1092" s="28" t="s">
        <v>1384</v>
      </c>
      <c r="E1092" s="28">
        <v>7560</v>
      </c>
      <c r="F1092" s="60"/>
      <c r="G1092" s="61"/>
    </row>
    <row r="1093" spans="1:7" s="62" customFormat="1" ht="25.5" x14ac:dyDescent="0.25">
      <c r="A1093" s="28">
        <f t="shared" si="28"/>
        <v>1037</v>
      </c>
      <c r="B1093" s="33" t="s">
        <v>1763</v>
      </c>
      <c r="C1093" s="33" t="s">
        <v>1764</v>
      </c>
      <c r="D1093" s="28" t="s">
        <v>1384</v>
      </c>
      <c r="E1093" s="28">
        <v>5880</v>
      </c>
      <c r="F1093" s="60"/>
      <c r="G1093" s="61"/>
    </row>
    <row r="1094" spans="1:7" s="62" customFormat="1" ht="25.5" x14ac:dyDescent="0.25">
      <c r="A1094" s="28">
        <f t="shared" si="28"/>
        <v>1038</v>
      </c>
      <c r="B1094" s="33" t="s">
        <v>1765</v>
      </c>
      <c r="C1094" s="33" t="s">
        <v>1766</v>
      </c>
      <c r="D1094" s="28" t="s">
        <v>1384</v>
      </c>
      <c r="E1094" s="28">
        <v>6120</v>
      </c>
      <c r="F1094" s="60"/>
      <c r="G1094" s="61"/>
    </row>
    <row r="1095" spans="1:7" s="62" customFormat="1" ht="25.5" x14ac:dyDescent="0.25">
      <c r="A1095" s="28">
        <f t="shared" si="28"/>
        <v>1039</v>
      </c>
      <c r="B1095" s="33" t="s">
        <v>1767</v>
      </c>
      <c r="C1095" s="33" t="s">
        <v>1768</v>
      </c>
      <c r="D1095" s="28" t="s">
        <v>1384</v>
      </c>
      <c r="E1095" s="28">
        <v>8640</v>
      </c>
      <c r="F1095" s="60"/>
      <c r="G1095" s="61"/>
    </row>
    <row r="1096" spans="1:7" s="62" customFormat="1" ht="25.5" x14ac:dyDescent="0.25">
      <c r="A1096" s="28">
        <f t="shared" si="28"/>
        <v>1040</v>
      </c>
      <c r="B1096" s="33" t="s">
        <v>1769</v>
      </c>
      <c r="C1096" s="33" t="s">
        <v>1770</v>
      </c>
      <c r="D1096" s="28" t="s">
        <v>1384</v>
      </c>
      <c r="E1096" s="28">
        <v>5160</v>
      </c>
      <c r="F1096" s="60"/>
      <c r="G1096" s="61"/>
    </row>
    <row r="1097" spans="1:7" s="62" customFormat="1" ht="25.5" x14ac:dyDescent="0.25">
      <c r="A1097" s="28">
        <f t="shared" si="28"/>
        <v>1041</v>
      </c>
      <c r="B1097" s="33" t="s">
        <v>1771</v>
      </c>
      <c r="C1097" s="33" t="s">
        <v>1772</v>
      </c>
      <c r="D1097" s="28" t="s">
        <v>1384</v>
      </c>
      <c r="E1097" s="28">
        <v>6480</v>
      </c>
      <c r="F1097" s="60"/>
      <c r="G1097" s="61"/>
    </row>
    <row r="1098" spans="1:7" s="62" customFormat="1" ht="30.75" customHeight="1" x14ac:dyDescent="0.25">
      <c r="A1098" s="28">
        <f t="shared" si="28"/>
        <v>1042</v>
      </c>
      <c r="B1098" s="33" t="s">
        <v>1773</v>
      </c>
      <c r="C1098" s="33" t="s">
        <v>1774</v>
      </c>
      <c r="D1098" s="28" t="s">
        <v>1384</v>
      </c>
      <c r="E1098" s="28">
        <v>6000</v>
      </c>
      <c r="F1098" s="60"/>
      <c r="G1098" s="61"/>
    </row>
    <row r="1099" spans="1:7" s="62" customFormat="1" ht="30.75" customHeight="1" x14ac:dyDescent="0.25">
      <c r="A1099" s="28">
        <f t="shared" si="28"/>
        <v>1043</v>
      </c>
      <c r="B1099" s="33" t="s">
        <v>1775</v>
      </c>
      <c r="C1099" s="33" t="s">
        <v>1776</v>
      </c>
      <c r="D1099" s="28" t="s">
        <v>1384</v>
      </c>
      <c r="E1099" s="28">
        <v>5880</v>
      </c>
      <c r="F1099" s="60"/>
      <c r="G1099" s="61"/>
    </row>
    <row r="1100" spans="1:7" s="62" customFormat="1" ht="27" customHeight="1" x14ac:dyDescent="0.25">
      <c r="A1100" s="28">
        <f t="shared" si="28"/>
        <v>1044</v>
      </c>
      <c r="B1100" s="33" t="s">
        <v>1777</v>
      </c>
      <c r="C1100" s="33" t="s">
        <v>1778</v>
      </c>
      <c r="D1100" s="28" t="s">
        <v>1384</v>
      </c>
      <c r="E1100" s="28">
        <v>6720</v>
      </c>
      <c r="F1100" s="60"/>
      <c r="G1100" s="61"/>
    </row>
    <row r="1101" spans="1:7" s="62" customFormat="1" ht="27" customHeight="1" x14ac:dyDescent="0.25">
      <c r="A1101" s="28">
        <f t="shared" si="28"/>
        <v>1045</v>
      </c>
      <c r="B1101" s="33" t="s">
        <v>1779</v>
      </c>
      <c r="C1101" s="33" t="s">
        <v>1780</v>
      </c>
      <c r="D1101" s="28" t="s">
        <v>1384</v>
      </c>
      <c r="E1101" s="28">
        <v>8160</v>
      </c>
      <c r="F1101" s="60"/>
      <c r="G1101" s="61"/>
    </row>
    <row r="1102" spans="1:7" s="62" customFormat="1" ht="28.5" customHeight="1" x14ac:dyDescent="0.25">
      <c r="A1102" s="28">
        <f t="shared" si="28"/>
        <v>1046</v>
      </c>
      <c r="B1102" s="33" t="s">
        <v>1781</v>
      </c>
      <c r="C1102" s="33" t="s">
        <v>1782</v>
      </c>
      <c r="D1102" s="28" t="s">
        <v>1384</v>
      </c>
      <c r="E1102" s="28">
        <v>13440</v>
      </c>
      <c r="F1102" s="60"/>
      <c r="G1102" s="61"/>
    </row>
    <row r="1103" spans="1:7" s="62" customFormat="1" ht="28.5" customHeight="1" x14ac:dyDescent="0.25">
      <c r="A1103" s="28">
        <f t="shared" si="28"/>
        <v>1047</v>
      </c>
      <c r="B1103" s="33" t="s">
        <v>1783</v>
      </c>
      <c r="C1103" s="33" t="s">
        <v>1784</v>
      </c>
      <c r="D1103" s="28" t="s">
        <v>1384</v>
      </c>
      <c r="E1103" s="28">
        <v>8160</v>
      </c>
      <c r="F1103" s="60"/>
      <c r="G1103" s="61"/>
    </row>
    <row r="1104" spans="1:7" s="62" customFormat="1" ht="18" customHeight="1" x14ac:dyDescent="0.25">
      <c r="A1104" s="28">
        <f t="shared" si="28"/>
        <v>1048</v>
      </c>
      <c r="B1104" s="33" t="s">
        <v>1785</v>
      </c>
      <c r="C1104" s="33" t="s">
        <v>1786</v>
      </c>
      <c r="D1104" s="28" t="s">
        <v>1384</v>
      </c>
      <c r="E1104" s="28">
        <v>16800</v>
      </c>
      <c r="F1104" s="60"/>
      <c r="G1104" s="61"/>
    </row>
    <row r="1105" spans="1:10" s="62" customFormat="1" ht="30" customHeight="1" x14ac:dyDescent="0.25">
      <c r="A1105" s="28">
        <f t="shared" si="28"/>
        <v>1049</v>
      </c>
      <c r="B1105" s="33" t="s">
        <v>1787</v>
      </c>
      <c r="C1105" s="33" t="s">
        <v>1788</v>
      </c>
      <c r="D1105" s="28" t="s">
        <v>1384</v>
      </c>
      <c r="E1105" s="28">
        <v>10320</v>
      </c>
      <c r="F1105" s="60"/>
      <c r="G1105" s="61"/>
      <c r="H1105" s="63"/>
      <c r="I1105" s="63"/>
      <c r="J1105" s="63"/>
    </row>
    <row r="1106" spans="1:10" s="62" customFormat="1" ht="30" customHeight="1" x14ac:dyDescent="0.25">
      <c r="A1106" s="28">
        <f t="shared" si="28"/>
        <v>1050</v>
      </c>
      <c r="B1106" s="33" t="s">
        <v>1789</v>
      </c>
      <c r="C1106" s="33" t="s">
        <v>1790</v>
      </c>
      <c r="D1106" s="28" t="s">
        <v>1384</v>
      </c>
      <c r="E1106" s="28">
        <v>5880</v>
      </c>
      <c r="F1106" s="60"/>
      <c r="G1106" s="61"/>
      <c r="H1106" s="63"/>
      <c r="I1106" s="63"/>
      <c r="J1106" s="63"/>
    </row>
    <row r="1107" spans="1:10" s="62" customFormat="1" ht="30" customHeight="1" x14ac:dyDescent="0.25">
      <c r="A1107" s="28">
        <f t="shared" si="28"/>
        <v>1051</v>
      </c>
      <c r="B1107" s="33" t="s">
        <v>1791</v>
      </c>
      <c r="C1107" s="33" t="s">
        <v>1792</v>
      </c>
      <c r="D1107" s="28" t="s">
        <v>1384</v>
      </c>
      <c r="E1107" s="28">
        <v>9000</v>
      </c>
      <c r="F1107" s="60"/>
      <c r="G1107" s="61"/>
      <c r="H1107" s="63"/>
      <c r="I1107" s="63"/>
      <c r="J1107" s="63"/>
    </row>
    <row r="1108" spans="1:10" s="62" customFormat="1" ht="30" customHeight="1" x14ac:dyDescent="0.25">
      <c r="A1108" s="28">
        <f t="shared" si="28"/>
        <v>1052</v>
      </c>
      <c r="B1108" s="33" t="s">
        <v>1793</v>
      </c>
      <c r="C1108" s="33" t="s">
        <v>1794</v>
      </c>
      <c r="D1108" s="28" t="s">
        <v>1384</v>
      </c>
      <c r="E1108" s="28">
        <v>12480</v>
      </c>
      <c r="F1108" s="60"/>
      <c r="G1108" s="61"/>
      <c r="H1108" s="63"/>
      <c r="I1108" s="63"/>
      <c r="J1108" s="63"/>
    </row>
    <row r="1109" spans="1:10" s="62" customFormat="1" ht="41.25" customHeight="1" x14ac:dyDescent="0.25">
      <c r="A1109" s="28">
        <f t="shared" si="28"/>
        <v>1053</v>
      </c>
      <c r="B1109" s="33" t="s">
        <v>1795</v>
      </c>
      <c r="C1109" s="33" t="s">
        <v>1796</v>
      </c>
      <c r="D1109" s="28" t="s">
        <v>1384</v>
      </c>
      <c r="E1109" s="28">
        <v>7560</v>
      </c>
      <c r="F1109" s="60"/>
      <c r="G1109" s="61"/>
      <c r="H1109" s="63"/>
      <c r="I1109" s="63"/>
      <c r="J1109" s="63"/>
    </row>
    <row r="1110" spans="1:10" s="62" customFormat="1" ht="27.75" customHeight="1" x14ac:dyDescent="0.25">
      <c r="A1110" s="28">
        <f t="shared" si="28"/>
        <v>1054</v>
      </c>
      <c r="B1110" s="33" t="s">
        <v>1797</v>
      </c>
      <c r="C1110" s="33" t="s">
        <v>1798</v>
      </c>
      <c r="D1110" s="28" t="s">
        <v>1384</v>
      </c>
      <c r="E1110" s="28">
        <v>7080</v>
      </c>
      <c r="F1110" s="60"/>
      <c r="G1110" s="61"/>
      <c r="H1110" s="63"/>
      <c r="I1110" s="63"/>
      <c r="J1110" s="63"/>
    </row>
    <row r="1111" spans="1:10" s="62" customFormat="1" ht="44.25" customHeight="1" x14ac:dyDescent="0.25">
      <c r="A1111" s="28">
        <f t="shared" si="28"/>
        <v>1055</v>
      </c>
      <c r="B1111" s="33" t="s">
        <v>3177</v>
      </c>
      <c r="C1111" s="33" t="s">
        <v>3178</v>
      </c>
      <c r="D1111" s="28" t="s">
        <v>1384</v>
      </c>
      <c r="E1111" s="124">
        <v>12864</v>
      </c>
      <c r="F1111" s="60"/>
      <c r="G1111" s="61"/>
      <c r="H1111" s="63"/>
      <c r="I1111" s="63"/>
      <c r="J1111" s="63"/>
    </row>
    <row r="1112" spans="1:10" s="62" customFormat="1" ht="22.5" customHeight="1" x14ac:dyDescent="0.25">
      <c r="A1112" s="28">
        <f t="shared" si="28"/>
        <v>1056</v>
      </c>
      <c r="B1112" s="121" t="s">
        <v>3179</v>
      </c>
      <c r="C1112" s="121" t="s">
        <v>3180</v>
      </c>
      <c r="D1112" s="28" t="s">
        <v>1384</v>
      </c>
      <c r="E1112" s="124">
        <v>11856</v>
      </c>
      <c r="F1112" s="60"/>
      <c r="G1112" s="61"/>
      <c r="H1112" s="63"/>
      <c r="I1112" s="63"/>
      <c r="J1112" s="63"/>
    </row>
    <row r="1113" spans="1:10" s="62" customFormat="1" ht="32.25" customHeight="1" x14ac:dyDescent="0.25">
      <c r="A1113" s="28">
        <f t="shared" si="28"/>
        <v>1057</v>
      </c>
      <c r="B1113" s="121" t="s">
        <v>3181</v>
      </c>
      <c r="C1113" s="121" t="s">
        <v>3182</v>
      </c>
      <c r="D1113" s="28" t="s">
        <v>1384</v>
      </c>
      <c r="E1113" s="124">
        <v>11376</v>
      </c>
      <c r="F1113" s="60"/>
      <c r="G1113" s="61"/>
      <c r="H1113" s="63"/>
      <c r="I1113" s="63"/>
      <c r="J1113" s="63"/>
    </row>
    <row r="1114" spans="1:10" s="62" customFormat="1" ht="25.5" customHeight="1" x14ac:dyDescent="0.25">
      <c r="A1114" s="28">
        <f t="shared" si="28"/>
        <v>1058</v>
      </c>
      <c r="B1114" s="121" t="s">
        <v>3183</v>
      </c>
      <c r="C1114" s="121" t="s">
        <v>3184</v>
      </c>
      <c r="D1114" s="28" t="s">
        <v>1384</v>
      </c>
      <c r="E1114" s="124">
        <v>32760</v>
      </c>
      <c r="F1114" s="60"/>
      <c r="G1114" s="61"/>
      <c r="H1114" s="63"/>
      <c r="I1114" s="63"/>
      <c r="J1114" s="63"/>
    </row>
    <row r="1115" spans="1:10" s="62" customFormat="1" ht="25.5" customHeight="1" x14ac:dyDescent="0.25">
      <c r="A1115" s="28">
        <f t="shared" si="28"/>
        <v>1059</v>
      </c>
      <c r="B1115" s="73" t="s">
        <v>3185</v>
      </c>
      <c r="C1115" s="73" t="s">
        <v>3186</v>
      </c>
      <c r="D1115" s="28" t="s">
        <v>1384</v>
      </c>
      <c r="E1115" s="124">
        <v>48972</v>
      </c>
      <c r="F1115" s="60"/>
      <c r="G1115" s="61"/>
      <c r="H1115" s="63"/>
      <c r="I1115" s="63"/>
      <c r="J1115" s="63"/>
    </row>
    <row r="1116" spans="1:10" s="62" customFormat="1" ht="51.75" customHeight="1" x14ac:dyDescent="0.25">
      <c r="A1116" s="28">
        <f t="shared" si="28"/>
        <v>1060</v>
      </c>
      <c r="B1116" s="33" t="s">
        <v>1799</v>
      </c>
      <c r="C1116" s="33" t="s">
        <v>1800</v>
      </c>
      <c r="D1116" s="28" t="s">
        <v>1384</v>
      </c>
      <c r="E1116" s="124">
        <v>10080</v>
      </c>
      <c r="F1116" s="60"/>
      <c r="G1116" s="61"/>
      <c r="H1116" s="63"/>
      <c r="I1116" s="63"/>
      <c r="J1116" s="63"/>
    </row>
    <row r="1117" spans="1:10" s="62" customFormat="1" ht="36" customHeight="1" x14ac:dyDescent="0.25">
      <c r="A1117" s="28">
        <f t="shared" si="28"/>
        <v>1061</v>
      </c>
      <c r="B1117" s="33" t="s">
        <v>3174</v>
      </c>
      <c r="C1117" s="121" t="s">
        <v>3187</v>
      </c>
      <c r="D1117" s="28" t="s">
        <v>1384</v>
      </c>
      <c r="E1117" s="124">
        <v>10344</v>
      </c>
      <c r="F1117" s="60"/>
      <c r="G1117" s="61"/>
      <c r="H1117" s="63"/>
      <c r="I1117" s="63"/>
      <c r="J1117" s="63"/>
    </row>
    <row r="1118" spans="1:10" s="62" customFormat="1" ht="19.5" customHeight="1" x14ac:dyDescent="0.25">
      <c r="A1118" s="151" t="s">
        <v>1801</v>
      </c>
      <c r="B1118" s="152"/>
      <c r="C1118" s="152"/>
      <c r="D1118" s="152"/>
      <c r="E1118" s="153"/>
      <c r="F1118" s="60"/>
      <c r="G1118" s="61"/>
      <c r="H1118" s="63"/>
      <c r="I1118" s="63"/>
      <c r="J1118" s="63"/>
    </row>
    <row r="1119" spans="1:10" s="62" customFormat="1" ht="54" customHeight="1" x14ac:dyDescent="0.25">
      <c r="A1119" s="28">
        <f>A1117+1</f>
        <v>1062</v>
      </c>
      <c r="B1119" s="33" t="s">
        <v>1802</v>
      </c>
      <c r="C1119" s="33" t="s">
        <v>1803</v>
      </c>
      <c r="D1119" s="28" t="s">
        <v>1804</v>
      </c>
      <c r="E1119" s="59">
        <v>1032480</v>
      </c>
      <c r="F1119" s="60"/>
      <c r="G1119" s="61"/>
      <c r="H1119" s="63"/>
      <c r="I1119" s="63"/>
      <c r="J1119" s="63"/>
    </row>
    <row r="1120" spans="1:10" s="62" customFormat="1" ht="54" customHeight="1" x14ac:dyDescent="0.25">
      <c r="A1120" s="28">
        <f t="shared" ref="A1120:A1129" si="29">A1119+1</f>
        <v>1063</v>
      </c>
      <c r="B1120" s="33" t="s">
        <v>1805</v>
      </c>
      <c r="C1120" s="33" t="s">
        <v>1806</v>
      </c>
      <c r="D1120" s="28" t="s">
        <v>1804</v>
      </c>
      <c r="E1120" s="59">
        <v>1200600</v>
      </c>
      <c r="F1120" s="60"/>
      <c r="G1120" s="61"/>
      <c r="H1120" s="63"/>
      <c r="I1120" s="63"/>
      <c r="J1120" s="63"/>
    </row>
    <row r="1121" spans="1:11" s="62" customFormat="1" ht="54" customHeight="1" x14ac:dyDescent="0.25">
      <c r="A1121" s="28">
        <f t="shared" si="29"/>
        <v>1064</v>
      </c>
      <c r="B1121" s="33" t="s">
        <v>1807</v>
      </c>
      <c r="C1121" s="33" t="s">
        <v>1808</v>
      </c>
      <c r="D1121" s="28" t="s">
        <v>1804</v>
      </c>
      <c r="E1121" s="59">
        <v>1106880</v>
      </c>
      <c r="F1121" s="60"/>
      <c r="G1121" s="61"/>
      <c r="H1121" s="63"/>
      <c r="I1121" s="63"/>
      <c r="J1121" s="63"/>
      <c r="K1121" s="63"/>
    </row>
    <row r="1122" spans="1:11" s="63" customFormat="1" ht="19.5" customHeight="1" x14ac:dyDescent="0.25">
      <c r="A1122" s="28">
        <f t="shared" si="29"/>
        <v>1065</v>
      </c>
      <c r="B1122" s="33" t="s">
        <v>1809</v>
      </c>
      <c r="C1122" s="33" t="s">
        <v>1810</v>
      </c>
      <c r="D1122" s="28" t="s">
        <v>1804</v>
      </c>
      <c r="E1122" s="59">
        <v>1810440</v>
      </c>
      <c r="F1122" s="60"/>
      <c r="G1122" s="61"/>
    </row>
    <row r="1123" spans="1:11" s="63" customFormat="1" ht="19.5" customHeight="1" x14ac:dyDescent="0.25">
      <c r="A1123" s="28">
        <f t="shared" si="29"/>
        <v>1066</v>
      </c>
      <c r="B1123" s="33" t="s">
        <v>1811</v>
      </c>
      <c r="C1123" s="33" t="s">
        <v>1812</v>
      </c>
      <c r="D1123" s="28" t="s">
        <v>1804</v>
      </c>
      <c r="E1123" s="59">
        <v>294720</v>
      </c>
      <c r="F1123" s="60"/>
      <c r="G1123" s="61"/>
    </row>
    <row r="1124" spans="1:11" s="63" customFormat="1" ht="19.5" customHeight="1" x14ac:dyDescent="0.25">
      <c r="A1124" s="28">
        <f t="shared" si="29"/>
        <v>1067</v>
      </c>
      <c r="B1124" s="33" t="s">
        <v>1813</v>
      </c>
      <c r="C1124" s="33" t="s">
        <v>1814</v>
      </c>
      <c r="D1124" s="28" t="s">
        <v>1804</v>
      </c>
      <c r="E1124" s="59">
        <v>408720</v>
      </c>
      <c r="F1124" s="60"/>
      <c r="G1124" s="61"/>
    </row>
    <row r="1125" spans="1:11" s="63" customFormat="1" ht="19.5" customHeight="1" x14ac:dyDescent="0.25">
      <c r="A1125" s="28">
        <f t="shared" si="29"/>
        <v>1068</v>
      </c>
      <c r="B1125" s="64" t="s">
        <v>1815</v>
      </c>
      <c r="C1125" s="64" t="s">
        <v>1816</v>
      </c>
      <c r="D1125" s="65" t="s">
        <v>490</v>
      </c>
      <c r="E1125" s="59">
        <v>228600</v>
      </c>
      <c r="F1125" s="60"/>
      <c r="G1125" s="61"/>
    </row>
    <row r="1126" spans="1:11" s="63" customFormat="1" ht="19.5" customHeight="1" x14ac:dyDescent="0.25">
      <c r="A1126" s="28">
        <f t="shared" si="29"/>
        <v>1069</v>
      </c>
      <c r="B1126" s="64" t="s">
        <v>1817</v>
      </c>
      <c r="C1126" s="64" t="s">
        <v>1818</v>
      </c>
      <c r="D1126" s="65" t="s">
        <v>490</v>
      </c>
      <c r="E1126" s="59">
        <v>160560</v>
      </c>
      <c r="F1126" s="60"/>
      <c r="G1126" s="61"/>
    </row>
    <row r="1127" spans="1:11" s="63" customFormat="1" ht="19.5" customHeight="1" x14ac:dyDescent="0.25">
      <c r="A1127" s="28">
        <f t="shared" si="29"/>
        <v>1070</v>
      </c>
      <c r="B1127" s="64" t="s">
        <v>1819</v>
      </c>
      <c r="C1127" s="64" t="s">
        <v>1820</v>
      </c>
      <c r="D1127" s="65" t="s">
        <v>490</v>
      </c>
      <c r="E1127" s="59">
        <v>208080</v>
      </c>
      <c r="F1127" s="60"/>
      <c r="G1127" s="61"/>
    </row>
    <row r="1128" spans="1:11" s="63" customFormat="1" ht="19.5" customHeight="1" x14ac:dyDescent="0.25">
      <c r="A1128" s="28">
        <f t="shared" si="29"/>
        <v>1071</v>
      </c>
      <c r="B1128" s="64" t="s">
        <v>1821</v>
      </c>
      <c r="C1128" s="64" t="s">
        <v>1822</v>
      </c>
      <c r="D1128" s="65" t="s">
        <v>490</v>
      </c>
      <c r="E1128" s="59">
        <v>164400</v>
      </c>
      <c r="F1128" s="60"/>
      <c r="G1128" s="61"/>
    </row>
    <row r="1129" spans="1:11" s="63" customFormat="1" ht="19.5" customHeight="1" x14ac:dyDescent="0.25">
      <c r="A1129" s="28">
        <f t="shared" si="29"/>
        <v>1072</v>
      </c>
      <c r="B1129" s="29" t="s">
        <v>1823</v>
      </c>
      <c r="C1129" s="31"/>
      <c r="D1129" s="47" t="s">
        <v>490</v>
      </c>
      <c r="E1129" s="59">
        <v>154080</v>
      </c>
      <c r="F1129" s="60"/>
      <c r="G1129" s="61"/>
    </row>
    <row r="1130" spans="1:11" s="63" customFormat="1" ht="16.5" customHeight="1" x14ac:dyDescent="0.25">
      <c r="A1130" s="136" t="s">
        <v>1824</v>
      </c>
      <c r="B1130" s="137"/>
      <c r="C1130" s="137"/>
      <c r="D1130" s="137"/>
      <c r="E1130" s="138"/>
      <c r="F1130" s="60"/>
      <c r="G1130" s="61"/>
    </row>
    <row r="1131" spans="1:11" s="63" customFormat="1" ht="16.5" customHeight="1" x14ac:dyDescent="0.25">
      <c r="A1131" s="136" t="s">
        <v>1825</v>
      </c>
      <c r="B1131" s="137"/>
      <c r="C1131" s="137"/>
      <c r="D1131" s="137"/>
      <c r="E1131" s="138"/>
      <c r="F1131" s="60"/>
      <c r="G1131" s="61"/>
    </row>
    <row r="1132" spans="1:11" s="63" customFormat="1" ht="28.5" customHeight="1" x14ac:dyDescent="0.25">
      <c r="A1132" s="28">
        <f>A1129+1</f>
        <v>1073</v>
      </c>
      <c r="B1132" s="33" t="s">
        <v>1826</v>
      </c>
      <c r="C1132" s="33" t="s">
        <v>1827</v>
      </c>
      <c r="D1132" s="28" t="s">
        <v>1384</v>
      </c>
      <c r="E1132" s="59">
        <v>10320</v>
      </c>
      <c r="F1132" s="60"/>
      <c r="G1132" s="61"/>
      <c r="H1132" s="66"/>
      <c r="I1132" s="66"/>
      <c r="J1132" s="66"/>
    </row>
    <row r="1133" spans="1:11" s="63" customFormat="1" ht="28.5" customHeight="1" x14ac:dyDescent="0.25">
      <c r="A1133" s="28">
        <f t="shared" ref="A1133:A1138" si="30">A1132+1</f>
        <v>1074</v>
      </c>
      <c r="B1133" s="33" t="s">
        <v>1828</v>
      </c>
      <c r="C1133" s="33" t="s">
        <v>1829</v>
      </c>
      <c r="D1133" s="28" t="s">
        <v>1384</v>
      </c>
      <c r="E1133" s="59">
        <v>12240</v>
      </c>
      <c r="F1133" s="60"/>
      <c r="G1133" s="61"/>
      <c r="H1133" s="66"/>
      <c r="I1133" s="66"/>
      <c r="J1133" s="66"/>
    </row>
    <row r="1134" spans="1:11" s="63" customFormat="1" ht="80.25" customHeight="1" x14ac:dyDescent="0.25">
      <c r="A1134" s="28">
        <f t="shared" si="30"/>
        <v>1075</v>
      </c>
      <c r="B1134" s="33" t="s">
        <v>1830</v>
      </c>
      <c r="C1134" s="33" t="s">
        <v>1831</v>
      </c>
      <c r="D1134" s="28" t="s">
        <v>1384</v>
      </c>
      <c r="E1134" s="59">
        <v>74520</v>
      </c>
      <c r="F1134" s="60"/>
      <c r="G1134" s="61"/>
      <c r="H1134" s="66"/>
      <c r="I1134" s="66"/>
      <c r="J1134" s="66"/>
    </row>
    <row r="1135" spans="1:11" s="63" customFormat="1" ht="55.5" customHeight="1" x14ac:dyDescent="0.25">
      <c r="A1135" s="28">
        <f t="shared" si="30"/>
        <v>1076</v>
      </c>
      <c r="B1135" s="33" t="s">
        <v>1832</v>
      </c>
      <c r="C1135" s="33" t="s">
        <v>1833</v>
      </c>
      <c r="D1135" s="28" t="s">
        <v>1384</v>
      </c>
      <c r="E1135" s="59">
        <v>62160</v>
      </c>
      <c r="F1135" s="60"/>
      <c r="G1135" s="61"/>
      <c r="H1135" s="66"/>
      <c r="I1135" s="66"/>
      <c r="J1135" s="66"/>
    </row>
    <row r="1136" spans="1:11" s="63" customFormat="1" ht="57.75" customHeight="1" x14ac:dyDescent="0.25">
      <c r="A1136" s="28">
        <f t="shared" si="30"/>
        <v>1077</v>
      </c>
      <c r="B1136" s="33" t="s">
        <v>1834</v>
      </c>
      <c r="C1136" s="33" t="s">
        <v>1835</v>
      </c>
      <c r="D1136" s="55" t="s">
        <v>1384</v>
      </c>
      <c r="E1136" s="59">
        <v>59160</v>
      </c>
      <c r="F1136" s="60"/>
      <c r="G1136" s="61"/>
    </row>
    <row r="1137" spans="1:11" s="63" customFormat="1" ht="28.5" customHeight="1" x14ac:dyDescent="0.25">
      <c r="A1137" s="28">
        <f t="shared" si="30"/>
        <v>1078</v>
      </c>
      <c r="B1137" s="33" t="s">
        <v>1836</v>
      </c>
      <c r="C1137" s="33" t="s">
        <v>1837</v>
      </c>
      <c r="D1137" s="55" t="s">
        <v>490</v>
      </c>
      <c r="E1137" s="59">
        <v>8400</v>
      </c>
      <c r="F1137" s="60"/>
      <c r="G1137" s="61"/>
    </row>
    <row r="1138" spans="1:11" s="63" customFormat="1" ht="28.5" customHeight="1" x14ac:dyDescent="0.25">
      <c r="A1138" s="28">
        <f t="shared" si="30"/>
        <v>1079</v>
      </c>
      <c r="B1138" s="33" t="s">
        <v>1838</v>
      </c>
      <c r="C1138" s="33" t="s">
        <v>1839</v>
      </c>
      <c r="D1138" s="55" t="s">
        <v>490</v>
      </c>
      <c r="E1138" s="59">
        <v>8400</v>
      </c>
      <c r="F1138" s="60"/>
      <c r="G1138" s="61"/>
    </row>
    <row r="1139" spans="1:11" s="63" customFormat="1" ht="18.75" customHeight="1" x14ac:dyDescent="0.25">
      <c r="A1139" s="136" t="s">
        <v>1840</v>
      </c>
      <c r="B1139" s="137"/>
      <c r="C1139" s="137"/>
      <c r="D1139" s="137"/>
      <c r="E1139" s="138"/>
      <c r="F1139" s="60"/>
      <c r="G1139" s="61"/>
    </row>
    <row r="1140" spans="1:11" s="63" customFormat="1" ht="45" customHeight="1" x14ac:dyDescent="0.25">
      <c r="A1140" s="48">
        <f>A1138+1</f>
        <v>1080</v>
      </c>
      <c r="B1140" s="33" t="s">
        <v>1841</v>
      </c>
      <c r="C1140" s="33" t="s">
        <v>1842</v>
      </c>
      <c r="D1140" s="28" t="s">
        <v>1384</v>
      </c>
      <c r="E1140" s="59">
        <v>65520</v>
      </c>
      <c r="F1140" s="60"/>
      <c r="G1140" s="61"/>
    </row>
    <row r="1141" spans="1:11" s="63" customFormat="1" ht="31.5" customHeight="1" x14ac:dyDescent="0.25">
      <c r="A1141" s="48">
        <f>A1140+1</f>
        <v>1081</v>
      </c>
      <c r="B1141" s="33" t="s">
        <v>1843</v>
      </c>
      <c r="C1141" s="33" t="s">
        <v>1844</v>
      </c>
      <c r="D1141" s="28" t="s">
        <v>1384</v>
      </c>
      <c r="E1141" s="59">
        <v>72000</v>
      </c>
      <c r="F1141" s="60"/>
      <c r="G1141" s="61"/>
      <c r="K1141" s="66"/>
    </row>
    <row r="1142" spans="1:11" s="66" customFormat="1" ht="19.5" customHeight="1" x14ac:dyDescent="0.25">
      <c r="A1142" s="136" t="s">
        <v>1845</v>
      </c>
      <c r="B1142" s="137"/>
      <c r="C1142" s="137"/>
      <c r="D1142" s="137"/>
      <c r="E1142" s="138"/>
      <c r="F1142" s="60"/>
      <c r="G1142" s="61"/>
      <c r="H1142" s="63"/>
      <c r="I1142" s="63"/>
      <c r="J1142" s="63"/>
    </row>
    <row r="1143" spans="1:11" s="66" customFormat="1" ht="48" customHeight="1" x14ac:dyDescent="0.25">
      <c r="A1143" s="48">
        <f>A1141+1</f>
        <v>1082</v>
      </c>
      <c r="B1143" s="33" t="s">
        <v>1846</v>
      </c>
      <c r="C1143" s="33" t="s">
        <v>1847</v>
      </c>
      <c r="D1143" s="28" t="s">
        <v>1384</v>
      </c>
      <c r="E1143" s="59">
        <v>59160</v>
      </c>
      <c r="F1143" s="60"/>
      <c r="G1143" s="61"/>
      <c r="H1143" s="63"/>
      <c r="I1143" s="63"/>
      <c r="J1143" s="63"/>
    </row>
    <row r="1144" spans="1:11" s="66" customFormat="1" ht="60" customHeight="1" x14ac:dyDescent="0.25">
      <c r="A1144" s="48">
        <f>A1143+1</f>
        <v>1083</v>
      </c>
      <c r="B1144" s="33" t="s">
        <v>1848</v>
      </c>
      <c r="C1144" s="33" t="s">
        <v>1849</v>
      </c>
      <c r="D1144" s="28" t="s">
        <v>1384</v>
      </c>
      <c r="E1144" s="59">
        <v>29640</v>
      </c>
      <c r="F1144" s="60"/>
      <c r="G1144" s="61"/>
      <c r="H1144" s="63"/>
      <c r="I1144" s="63"/>
      <c r="J1144" s="63"/>
    </row>
    <row r="1145" spans="1:11" s="66" customFormat="1" ht="18.75" customHeight="1" x14ac:dyDescent="0.25">
      <c r="A1145" s="136" t="s">
        <v>1850</v>
      </c>
      <c r="B1145" s="137"/>
      <c r="C1145" s="137"/>
      <c r="D1145" s="137"/>
      <c r="E1145" s="138"/>
      <c r="F1145" s="60"/>
      <c r="G1145" s="61"/>
      <c r="H1145" s="63"/>
      <c r="I1145" s="63"/>
      <c r="J1145" s="63"/>
      <c r="K1145" s="63"/>
    </row>
    <row r="1146" spans="1:11" s="63" customFormat="1" ht="71.25" customHeight="1" x14ac:dyDescent="0.25">
      <c r="A1146" s="48">
        <f>A1144+1</f>
        <v>1084</v>
      </c>
      <c r="B1146" s="33" t="s">
        <v>1851</v>
      </c>
      <c r="C1146" s="55" t="s">
        <v>1852</v>
      </c>
      <c r="D1146" s="28" t="s">
        <v>1384</v>
      </c>
      <c r="E1146" s="59">
        <v>91200</v>
      </c>
      <c r="F1146" s="60"/>
      <c r="G1146" s="61"/>
      <c r="H1146" s="66"/>
      <c r="I1146" s="66"/>
      <c r="J1146" s="66"/>
    </row>
    <row r="1147" spans="1:11" s="63" customFormat="1" ht="42.75" customHeight="1" x14ac:dyDescent="0.25">
      <c r="A1147" s="48">
        <f>A1146+1</f>
        <v>1085</v>
      </c>
      <c r="B1147" s="33" t="s">
        <v>1853</v>
      </c>
      <c r="C1147" s="33" t="s">
        <v>1854</v>
      </c>
      <c r="D1147" s="28" t="s">
        <v>1384</v>
      </c>
      <c r="E1147" s="59">
        <v>72000</v>
      </c>
      <c r="F1147" s="60"/>
      <c r="G1147" s="61"/>
      <c r="H1147" s="66"/>
      <c r="I1147" s="66"/>
      <c r="J1147" s="66"/>
    </row>
    <row r="1148" spans="1:11" s="63" customFormat="1" ht="18.75" customHeight="1" x14ac:dyDescent="0.25">
      <c r="A1148" s="136" t="s">
        <v>1855</v>
      </c>
      <c r="B1148" s="137"/>
      <c r="C1148" s="137"/>
      <c r="D1148" s="137"/>
      <c r="E1148" s="138"/>
      <c r="F1148" s="60"/>
      <c r="G1148" s="61"/>
      <c r="H1148" s="67"/>
      <c r="I1148" s="67"/>
      <c r="J1148" s="67"/>
    </row>
    <row r="1149" spans="1:11" s="63" customFormat="1" ht="43.5" customHeight="1" x14ac:dyDescent="0.25">
      <c r="A1149" s="48">
        <f>A1147+1</f>
        <v>1086</v>
      </c>
      <c r="B1149" s="33" t="s">
        <v>1856</v>
      </c>
      <c r="C1149" s="33" t="s">
        <v>1857</v>
      </c>
      <c r="D1149" s="55" t="s">
        <v>1384</v>
      </c>
      <c r="E1149" s="59">
        <v>74520</v>
      </c>
      <c r="F1149" s="60"/>
      <c r="G1149" s="61"/>
      <c r="H1149" s="67"/>
      <c r="I1149" s="67"/>
      <c r="J1149" s="67"/>
    </row>
    <row r="1150" spans="1:11" s="63" customFormat="1" ht="43.5" customHeight="1" x14ac:dyDescent="0.25">
      <c r="A1150" s="48">
        <f>A1149+1</f>
        <v>1087</v>
      </c>
      <c r="B1150" s="33" t="s">
        <v>1858</v>
      </c>
      <c r="C1150" s="33" t="s">
        <v>1859</v>
      </c>
      <c r="D1150" s="55" t="s">
        <v>1384</v>
      </c>
      <c r="E1150" s="59">
        <v>104040</v>
      </c>
      <c r="F1150" s="60"/>
      <c r="G1150" s="61"/>
      <c r="H1150" s="67"/>
      <c r="I1150" s="67"/>
      <c r="J1150" s="67"/>
    </row>
    <row r="1151" spans="1:11" s="63" customFormat="1" ht="74.25" customHeight="1" x14ac:dyDescent="0.25">
      <c r="A1151" s="48">
        <f t="shared" ref="A1151:A1163" si="31">A1150+1</f>
        <v>1088</v>
      </c>
      <c r="B1151" s="33" t="s">
        <v>1860</v>
      </c>
      <c r="C1151" s="33" t="s">
        <v>1861</v>
      </c>
      <c r="D1151" s="55" t="s">
        <v>1384</v>
      </c>
      <c r="E1151" s="59">
        <v>109200</v>
      </c>
      <c r="F1151" s="60"/>
      <c r="G1151" s="61"/>
      <c r="H1151" s="67"/>
      <c r="I1151" s="67"/>
      <c r="J1151" s="67"/>
    </row>
    <row r="1152" spans="1:11" s="63" customFormat="1" ht="38.25" x14ac:dyDescent="0.25">
      <c r="A1152" s="48">
        <f t="shared" si="31"/>
        <v>1089</v>
      </c>
      <c r="B1152" s="33" t="s">
        <v>1862</v>
      </c>
      <c r="C1152" s="33" t="s">
        <v>1863</v>
      </c>
      <c r="D1152" s="55" t="s">
        <v>1384</v>
      </c>
      <c r="E1152" s="59">
        <v>74520</v>
      </c>
      <c r="F1152" s="60"/>
      <c r="G1152" s="61"/>
      <c r="H1152" s="67"/>
      <c r="I1152" s="67"/>
      <c r="J1152" s="67"/>
    </row>
    <row r="1153" spans="1:11" s="63" customFormat="1" ht="82.5" customHeight="1" x14ac:dyDescent="0.25">
      <c r="A1153" s="48">
        <f t="shared" si="31"/>
        <v>1090</v>
      </c>
      <c r="B1153" s="33" t="s">
        <v>1864</v>
      </c>
      <c r="C1153" s="33" t="s">
        <v>1865</v>
      </c>
      <c r="D1153" s="55" t="s">
        <v>1384</v>
      </c>
      <c r="E1153" s="59">
        <v>122040</v>
      </c>
      <c r="F1153" s="60"/>
      <c r="G1153" s="61"/>
      <c r="H1153" s="67"/>
      <c r="I1153" s="67"/>
      <c r="J1153" s="67"/>
    </row>
    <row r="1154" spans="1:11" s="63" customFormat="1" ht="57.75" customHeight="1" x14ac:dyDescent="0.25">
      <c r="A1154" s="48">
        <f t="shared" si="31"/>
        <v>1091</v>
      </c>
      <c r="B1154" s="33" t="s">
        <v>1866</v>
      </c>
      <c r="C1154" s="33" t="s">
        <v>1867</v>
      </c>
      <c r="D1154" s="55" t="s">
        <v>1384</v>
      </c>
      <c r="E1154" s="59">
        <v>50160</v>
      </c>
      <c r="F1154" s="60"/>
      <c r="G1154" s="61"/>
      <c r="H1154" s="67"/>
      <c r="I1154" s="67"/>
      <c r="J1154" s="67"/>
    </row>
    <row r="1155" spans="1:11" s="63" customFormat="1" ht="57.75" customHeight="1" x14ac:dyDescent="0.25">
      <c r="A1155" s="48">
        <f t="shared" si="31"/>
        <v>1092</v>
      </c>
      <c r="B1155" s="33" t="s">
        <v>1868</v>
      </c>
      <c r="C1155" s="33" t="s">
        <v>1869</v>
      </c>
      <c r="D1155" s="55" t="s">
        <v>1384</v>
      </c>
      <c r="E1155" s="59">
        <v>45000</v>
      </c>
      <c r="F1155" s="60"/>
      <c r="G1155" s="61"/>
      <c r="H1155" s="67"/>
      <c r="I1155" s="67"/>
      <c r="J1155" s="67"/>
      <c r="K1155" s="66"/>
    </row>
    <row r="1156" spans="1:11" s="66" customFormat="1" ht="57.75" customHeight="1" x14ac:dyDescent="0.25">
      <c r="A1156" s="48">
        <f t="shared" si="31"/>
        <v>1093</v>
      </c>
      <c r="B1156" s="33" t="s">
        <v>1870</v>
      </c>
      <c r="C1156" s="33" t="s">
        <v>1871</v>
      </c>
      <c r="D1156" s="55" t="s">
        <v>1384</v>
      </c>
      <c r="E1156" s="59">
        <v>85560</v>
      </c>
      <c r="F1156" s="60"/>
      <c r="G1156" s="61"/>
      <c r="H1156" s="67"/>
      <c r="I1156" s="67"/>
      <c r="J1156" s="67"/>
    </row>
    <row r="1157" spans="1:11" s="66" customFormat="1" ht="42" customHeight="1" x14ac:dyDescent="0.25">
      <c r="A1157" s="48">
        <f t="shared" si="31"/>
        <v>1094</v>
      </c>
      <c r="B1157" s="33" t="s">
        <v>1872</v>
      </c>
      <c r="C1157" s="33" t="s">
        <v>1873</v>
      </c>
      <c r="D1157" s="55" t="s">
        <v>1384</v>
      </c>
      <c r="E1157" s="59">
        <v>97680</v>
      </c>
      <c r="F1157" s="60"/>
      <c r="G1157" s="61"/>
      <c r="H1157" s="67"/>
      <c r="I1157" s="67"/>
      <c r="J1157" s="67"/>
      <c r="K1157" s="67"/>
    </row>
    <row r="1158" spans="1:11" s="67" customFormat="1" ht="42" customHeight="1" x14ac:dyDescent="0.25">
      <c r="A1158" s="48">
        <f t="shared" si="31"/>
        <v>1095</v>
      </c>
      <c r="B1158" s="33" t="s">
        <v>1874</v>
      </c>
      <c r="C1158" s="33" t="s">
        <v>1875</v>
      </c>
      <c r="D1158" s="55" t="s">
        <v>1384</v>
      </c>
      <c r="E1158" s="59">
        <v>64200</v>
      </c>
      <c r="F1158" s="60"/>
      <c r="G1158" s="61"/>
    </row>
    <row r="1159" spans="1:11" s="67" customFormat="1" ht="42" customHeight="1" x14ac:dyDescent="0.25">
      <c r="A1159" s="48">
        <f t="shared" si="31"/>
        <v>1096</v>
      </c>
      <c r="B1159" s="68" t="s">
        <v>1876</v>
      </c>
      <c r="C1159" s="69"/>
      <c r="D1159" s="70" t="s">
        <v>490</v>
      </c>
      <c r="E1159" s="59">
        <v>44520</v>
      </c>
      <c r="F1159" s="60"/>
      <c r="G1159" s="61"/>
    </row>
    <row r="1160" spans="1:11" s="67" customFormat="1" ht="87.75" customHeight="1" x14ac:dyDescent="0.25">
      <c r="A1160" s="48">
        <f t="shared" si="31"/>
        <v>1097</v>
      </c>
      <c r="B1160" s="68" t="s">
        <v>1877</v>
      </c>
      <c r="C1160" s="69"/>
      <c r="D1160" s="70" t="s">
        <v>490</v>
      </c>
      <c r="E1160" s="59">
        <v>56760</v>
      </c>
      <c r="F1160" s="60"/>
      <c r="G1160" s="61"/>
    </row>
    <row r="1161" spans="1:11" s="67" customFormat="1" ht="60.75" customHeight="1" x14ac:dyDescent="0.25">
      <c r="A1161" s="48">
        <f t="shared" si="31"/>
        <v>1098</v>
      </c>
      <c r="B1161" s="68" t="s">
        <v>1878</v>
      </c>
      <c r="C1161" s="69"/>
      <c r="D1161" s="70" t="s">
        <v>490</v>
      </c>
      <c r="E1161" s="59">
        <v>49440</v>
      </c>
      <c r="F1161" s="60"/>
      <c r="G1161" s="61"/>
    </row>
    <row r="1162" spans="1:11" s="67" customFormat="1" ht="60.75" customHeight="1" x14ac:dyDescent="0.25">
      <c r="A1162" s="48">
        <f t="shared" si="31"/>
        <v>1099</v>
      </c>
      <c r="B1162" s="33" t="s">
        <v>3229</v>
      </c>
      <c r="C1162" s="33"/>
      <c r="D1162" s="28" t="s">
        <v>1384</v>
      </c>
      <c r="E1162" s="28">
        <v>21840</v>
      </c>
      <c r="F1162" s="60"/>
      <c r="G1162" s="61"/>
    </row>
    <row r="1163" spans="1:11" s="67" customFormat="1" ht="60.75" customHeight="1" x14ac:dyDescent="0.25">
      <c r="A1163" s="48">
        <f t="shared" si="31"/>
        <v>1100</v>
      </c>
      <c r="B1163" s="73" t="s">
        <v>3230</v>
      </c>
      <c r="C1163" s="121"/>
      <c r="D1163" s="28" t="s">
        <v>1384</v>
      </c>
      <c r="E1163" s="28">
        <v>104880</v>
      </c>
      <c r="F1163" s="60"/>
      <c r="G1163" s="61"/>
    </row>
    <row r="1164" spans="1:11" s="67" customFormat="1" ht="18.75" customHeight="1" x14ac:dyDescent="0.25">
      <c r="A1164" s="136" t="s">
        <v>1879</v>
      </c>
      <c r="B1164" s="137"/>
      <c r="C1164" s="137"/>
      <c r="D1164" s="137"/>
      <c r="E1164" s="138"/>
      <c r="F1164" s="60"/>
      <c r="G1164" s="61"/>
    </row>
    <row r="1165" spans="1:11" s="67" customFormat="1" ht="25.5" x14ac:dyDescent="0.25">
      <c r="A1165" s="28">
        <f>A1163+1</f>
        <v>1101</v>
      </c>
      <c r="B1165" s="33" t="s">
        <v>1880</v>
      </c>
      <c r="C1165" s="33" t="s">
        <v>1881</v>
      </c>
      <c r="D1165" s="28" t="s">
        <v>1384</v>
      </c>
      <c r="E1165" s="59">
        <v>16080</v>
      </c>
      <c r="F1165" s="60"/>
      <c r="G1165" s="61"/>
    </row>
    <row r="1166" spans="1:11" s="67" customFormat="1" ht="18.75" customHeight="1" x14ac:dyDescent="0.25">
      <c r="A1166" s="139" t="s">
        <v>1882</v>
      </c>
      <c r="B1166" s="140"/>
      <c r="C1166" s="140"/>
      <c r="D1166" s="140"/>
      <c r="E1166" s="141"/>
      <c r="F1166" s="60"/>
      <c r="G1166" s="61"/>
    </row>
    <row r="1167" spans="1:11" s="67" customFormat="1" ht="12.75" x14ac:dyDescent="0.25">
      <c r="A1167" s="28">
        <f>A1165+1</f>
        <v>1102</v>
      </c>
      <c r="B1167" s="53" t="s">
        <v>1883</v>
      </c>
      <c r="C1167" s="53" t="s">
        <v>1884</v>
      </c>
      <c r="D1167" s="71" t="s">
        <v>1384</v>
      </c>
      <c r="E1167" s="59">
        <v>7800</v>
      </c>
      <c r="F1167" s="60"/>
      <c r="G1167" s="61"/>
    </row>
    <row r="1168" spans="1:11" s="67" customFormat="1" ht="12.75" x14ac:dyDescent="0.25">
      <c r="A1168" s="28">
        <f>A1167+1</f>
        <v>1103</v>
      </c>
      <c r="B1168" s="53" t="s">
        <v>1885</v>
      </c>
      <c r="C1168" s="53" t="s">
        <v>1886</v>
      </c>
      <c r="D1168" s="71" t="s">
        <v>1384</v>
      </c>
      <c r="E1168" s="59">
        <v>10680</v>
      </c>
      <c r="F1168" s="60"/>
      <c r="G1168" s="61"/>
    </row>
    <row r="1169" spans="1:7" s="67" customFormat="1" ht="25.5" x14ac:dyDescent="0.25">
      <c r="A1169" s="28">
        <f>A1168+1</f>
        <v>1104</v>
      </c>
      <c r="B1169" s="53" t="s">
        <v>1737</v>
      </c>
      <c r="C1169" s="53" t="s">
        <v>1738</v>
      </c>
      <c r="D1169" s="28" t="s">
        <v>1384</v>
      </c>
      <c r="E1169" s="59">
        <v>6240</v>
      </c>
      <c r="F1169" s="60"/>
      <c r="G1169" s="61"/>
    </row>
    <row r="1170" spans="1:7" s="67" customFormat="1" ht="25.5" x14ac:dyDescent="0.25">
      <c r="A1170" s="28">
        <f>A1169+1</f>
        <v>1105</v>
      </c>
      <c r="B1170" s="53" t="s">
        <v>1887</v>
      </c>
      <c r="C1170" s="53" t="s">
        <v>1888</v>
      </c>
      <c r="D1170" s="71" t="s">
        <v>1384</v>
      </c>
      <c r="E1170" s="59">
        <v>34080</v>
      </c>
      <c r="F1170" s="60"/>
      <c r="G1170" s="61"/>
    </row>
    <row r="1171" spans="1:7" s="67" customFormat="1" ht="38.25" x14ac:dyDescent="0.25">
      <c r="A1171" s="28">
        <f>A1170+1</f>
        <v>1106</v>
      </c>
      <c r="B1171" s="53" t="s">
        <v>1889</v>
      </c>
      <c r="C1171" s="53" t="s">
        <v>1890</v>
      </c>
      <c r="D1171" s="28" t="s">
        <v>1384</v>
      </c>
      <c r="E1171" s="59">
        <v>9000</v>
      </c>
      <c r="F1171" s="60"/>
      <c r="G1171" s="61"/>
    </row>
    <row r="1172" spans="1:7" s="67" customFormat="1" ht="18.75" customHeight="1" x14ac:dyDescent="0.25">
      <c r="A1172" s="139" t="s">
        <v>1891</v>
      </c>
      <c r="B1172" s="140"/>
      <c r="C1172" s="140"/>
      <c r="D1172" s="140"/>
      <c r="E1172" s="141"/>
      <c r="F1172" s="60"/>
      <c r="G1172" s="61"/>
    </row>
    <row r="1173" spans="1:7" s="67" customFormat="1" ht="18.75" customHeight="1" x14ac:dyDescent="0.25">
      <c r="A1173" s="139" t="s">
        <v>1892</v>
      </c>
      <c r="B1173" s="140"/>
      <c r="C1173" s="140"/>
      <c r="D1173" s="140"/>
      <c r="E1173" s="141"/>
      <c r="F1173" s="60"/>
      <c r="G1173" s="61"/>
    </row>
    <row r="1174" spans="1:7" s="67" customFormat="1" ht="25.5" x14ac:dyDescent="0.25">
      <c r="A1174" s="28">
        <f>A1171+1</f>
        <v>1107</v>
      </c>
      <c r="B1174" s="53" t="s">
        <v>1893</v>
      </c>
      <c r="C1174" s="53" t="s">
        <v>1894</v>
      </c>
      <c r="D1174" s="28" t="s">
        <v>490</v>
      </c>
      <c r="E1174" s="59">
        <v>8400</v>
      </c>
      <c r="F1174" s="60"/>
      <c r="G1174" s="61"/>
    </row>
    <row r="1175" spans="1:7" s="67" customFormat="1" ht="25.5" x14ac:dyDescent="0.25">
      <c r="A1175" s="28">
        <f>A1174+1</f>
        <v>1108</v>
      </c>
      <c r="B1175" s="53" t="s">
        <v>1895</v>
      </c>
      <c r="C1175" s="53" t="s">
        <v>1896</v>
      </c>
      <c r="D1175" s="28" t="s">
        <v>490</v>
      </c>
      <c r="E1175" s="59">
        <v>18000</v>
      </c>
      <c r="F1175" s="60"/>
      <c r="G1175" s="61"/>
    </row>
    <row r="1176" spans="1:7" s="67" customFormat="1" ht="53.25" customHeight="1" x14ac:dyDescent="0.25">
      <c r="A1176" s="28">
        <f t="shared" ref="A1176:A1199" si="32">A1175+1</f>
        <v>1109</v>
      </c>
      <c r="B1176" s="53" t="s">
        <v>1897</v>
      </c>
      <c r="C1176" s="53" t="s">
        <v>1898</v>
      </c>
      <c r="D1176" s="28" t="s">
        <v>490</v>
      </c>
      <c r="E1176" s="59">
        <v>5880</v>
      </c>
      <c r="F1176" s="60"/>
      <c r="G1176" s="61"/>
    </row>
    <row r="1177" spans="1:7" s="67" customFormat="1" ht="53.25" customHeight="1" x14ac:dyDescent="0.25">
      <c r="A1177" s="28">
        <f t="shared" si="32"/>
        <v>1110</v>
      </c>
      <c r="B1177" s="53" t="s">
        <v>1899</v>
      </c>
      <c r="C1177" s="53" t="s">
        <v>1900</v>
      </c>
      <c r="D1177" s="28" t="s">
        <v>490</v>
      </c>
      <c r="E1177" s="59">
        <v>18000</v>
      </c>
      <c r="F1177" s="60"/>
      <c r="G1177" s="61"/>
    </row>
    <row r="1178" spans="1:7" s="67" customFormat="1" ht="36.75" customHeight="1" x14ac:dyDescent="0.25">
      <c r="A1178" s="28">
        <f t="shared" si="32"/>
        <v>1111</v>
      </c>
      <c r="B1178" s="53" t="s">
        <v>1901</v>
      </c>
      <c r="C1178" s="53" t="s">
        <v>1902</v>
      </c>
      <c r="D1178" s="28" t="s">
        <v>490</v>
      </c>
      <c r="E1178" s="59">
        <v>7800</v>
      </c>
      <c r="F1178" s="60"/>
      <c r="G1178" s="61"/>
    </row>
    <row r="1179" spans="1:7" s="67" customFormat="1" ht="36.75" customHeight="1" x14ac:dyDescent="0.25">
      <c r="A1179" s="28">
        <f t="shared" si="32"/>
        <v>1112</v>
      </c>
      <c r="B1179" s="53" t="s">
        <v>1903</v>
      </c>
      <c r="C1179" s="53" t="s">
        <v>1904</v>
      </c>
      <c r="D1179" s="28" t="s">
        <v>490</v>
      </c>
      <c r="E1179" s="28">
        <v>15480</v>
      </c>
      <c r="F1179" s="60"/>
      <c r="G1179" s="61"/>
    </row>
    <row r="1180" spans="1:7" s="67" customFormat="1" ht="45" customHeight="1" x14ac:dyDescent="0.25">
      <c r="A1180" s="28">
        <f t="shared" si="32"/>
        <v>1113</v>
      </c>
      <c r="B1180" s="53" t="s">
        <v>1905</v>
      </c>
      <c r="C1180" s="53" t="s">
        <v>1906</v>
      </c>
      <c r="D1180" s="28" t="s">
        <v>490</v>
      </c>
      <c r="E1180" s="28">
        <v>7800</v>
      </c>
      <c r="F1180" s="60"/>
      <c r="G1180" s="61"/>
    </row>
    <row r="1181" spans="1:7" s="67" customFormat="1" ht="33.75" customHeight="1" x14ac:dyDescent="0.25">
      <c r="A1181" s="28">
        <f t="shared" si="32"/>
        <v>1114</v>
      </c>
      <c r="B1181" s="53" t="s">
        <v>1907</v>
      </c>
      <c r="C1181" s="53" t="s">
        <v>1908</v>
      </c>
      <c r="D1181" s="28" t="s">
        <v>490</v>
      </c>
      <c r="E1181" s="28">
        <v>8400</v>
      </c>
      <c r="F1181" s="60"/>
      <c r="G1181" s="61"/>
    </row>
    <row r="1182" spans="1:7" s="67" customFormat="1" ht="33.75" customHeight="1" x14ac:dyDescent="0.25">
      <c r="A1182" s="28">
        <f t="shared" si="32"/>
        <v>1115</v>
      </c>
      <c r="B1182" s="53" t="s">
        <v>1909</v>
      </c>
      <c r="C1182" s="53" t="s">
        <v>1910</v>
      </c>
      <c r="D1182" s="28" t="s">
        <v>490</v>
      </c>
      <c r="E1182" s="28">
        <v>8400</v>
      </c>
      <c r="F1182" s="60"/>
      <c r="G1182" s="61"/>
    </row>
    <row r="1183" spans="1:7" s="67" customFormat="1" ht="25.5" x14ac:dyDescent="0.25">
      <c r="A1183" s="28">
        <f t="shared" si="32"/>
        <v>1116</v>
      </c>
      <c r="B1183" s="53" t="s">
        <v>1911</v>
      </c>
      <c r="C1183" s="53" t="s">
        <v>1912</v>
      </c>
      <c r="D1183" s="28" t="s">
        <v>490</v>
      </c>
      <c r="E1183" s="28">
        <v>16680</v>
      </c>
      <c r="F1183" s="60"/>
      <c r="G1183" s="61"/>
    </row>
    <row r="1184" spans="1:7" s="67" customFormat="1" ht="51.75" customHeight="1" x14ac:dyDescent="0.25">
      <c r="A1184" s="28">
        <f t="shared" si="32"/>
        <v>1117</v>
      </c>
      <c r="B1184" s="53" t="s">
        <v>1913</v>
      </c>
      <c r="C1184" s="53" t="s">
        <v>1914</v>
      </c>
      <c r="D1184" s="28" t="s">
        <v>490</v>
      </c>
      <c r="E1184" s="28">
        <v>8400</v>
      </c>
      <c r="F1184" s="60"/>
      <c r="G1184" s="61"/>
    </row>
    <row r="1185" spans="1:7" s="67" customFormat="1" ht="35.25" customHeight="1" x14ac:dyDescent="0.25">
      <c r="A1185" s="28">
        <f t="shared" si="32"/>
        <v>1118</v>
      </c>
      <c r="B1185" s="53" t="s">
        <v>1915</v>
      </c>
      <c r="C1185" s="53" t="s">
        <v>1916</v>
      </c>
      <c r="D1185" s="28" t="s">
        <v>490</v>
      </c>
      <c r="E1185" s="28">
        <v>18000</v>
      </c>
      <c r="F1185" s="60"/>
      <c r="G1185" s="61"/>
    </row>
    <row r="1186" spans="1:7" s="67" customFormat="1" ht="43.5" customHeight="1" x14ac:dyDescent="0.25">
      <c r="A1186" s="28">
        <f t="shared" si="32"/>
        <v>1119</v>
      </c>
      <c r="B1186" s="53" t="s">
        <v>1917</v>
      </c>
      <c r="C1186" s="53" t="s">
        <v>1918</v>
      </c>
      <c r="D1186" s="28" t="s">
        <v>490</v>
      </c>
      <c r="E1186" s="28">
        <v>6480</v>
      </c>
      <c r="F1186" s="60"/>
      <c r="G1186" s="61"/>
    </row>
    <row r="1187" spans="1:7" s="67" customFormat="1" ht="43.5" customHeight="1" x14ac:dyDescent="0.25">
      <c r="A1187" s="28">
        <f t="shared" si="32"/>
        <v>1120</v>
      </c>
      <c r="B1187" s="53" t="s">
        <v>1919</v>
      </c>
      <c r="C1187" s="53" t="s">
        <v>1920</v>
      </c>
      <c r="D1187" s="28" t="s">
        <v>490</v>
      </c>
      <c r="E1187" s="28">
        <v>18000</v>
      </c>
      <c r="F1187" s="60"/>
      <c r="G1187" s="61"/>
    </row>
    <row r="1188" spans="1:7" s="67" customFormat="1" ht="43.5" customHeight="1" x14ac:dyDescent="0.25">
      <c r="A1188" s="28">
        <f t="shared" si="32"/>
        <v>1121</v>
      </c>
      <c r="B1188" s="53" t="s">
        <v>1921</v>
      </c>
      <c r="C1188" s="53" t="s">
        <v>1922</v>
      </c>
      <c r="D1188" s="28" t="s">
        <v>490</v>
      </c>
      <c r="E1188" s="28">
        <v>7800</v>
      </c>
      <c r="F1188" s="60"/>
      <c r="G1188" s="61"/>
    </row>
    <row r="1189" spans="1:7" s="67" customFormat="1" ht="56.25" customHeight="1" x14ac:dyDescent="0.25">
      <c r="A1189" s="28">
        <f t="shared" si="32"/>
        <v>1122</v>
      </c>
      <c r="B1189" s="53" t="s">
        <v>1923</v>
      </c>
      <c r="C1189" s="53" t="s">
        <v>1924</v>
      </c>
      <c r="D1189" s="28" t="s">
        <v>490</v>
      </c>
      <c r="E1189" s="28">
        <v>18000</v>
      </c>
      <c r="F1189" s="60"/>
      <c r="G1189" s="61"/>
    </row>
    <row r="1190" spans="1:7" s="67" customFormat="1" ht="41.25" customHeight="1" x14ac:dyDescent="0.25">
      <c r="A1190" s="28">
        <f t="shared" si="32"/>
        <v>1123</v>
      </c>
      <c r="B1190" s="53" t="s">
        <v>1925</v>
      </c>
      <c r="C1190" s="53" t="s">
        <v>1926</v>
      </c>
      <c r="D1190" s="28" t="s">
        <v>490</v>
      </c>
      <c r="E1190" s="28">
        <v>8400</v>
      </c>
      <c r="F1190" s="60"/>
      <c r="G1190" s="61"/>
    </row>
    <row r="1191" spans="1:7" s="67" customFormat="1" ht="35.25" customHeight="1" x14ac:dyDescent="0.25">
      <c r="A1191" s="28">
        <f t="shared" si="32"/>
        <v>1124</v>
      </c>
      <c r="B1191" s="53" t="s">
        <v>1927</v>
      </c>
      <c r="C1191" s="53" t="s">
        <v>1928</v>
      </c>
      <c r="D1191" s="28" t="s">
        <v>490</v>
      </c>
      <c r="E1191" s="28">
        <v>18000</v>
      </c>
      <c r="F1191" s="60"/>
      <c r="G1191" s="61"/>
    </row>
    <row r="1192" spans="1:7" s="67" customFormat="1" ht="42" customHeight="1" x14ac:dyDescent="0.25">
      <c r="A1192" s="28">
        <f t="shared" si="32"/>
        <v>1125</v>
      </c>
      <c r="B1192" s="53" t="s">
        <v>1929</v>
      </c>
      <c r="C1192" s="53" t="s">
        <v>1930</v>
      </c>
      <c r="D1192" s="28" t="s">
        <v>490</v>
      </c>
      <c r="E1192" s="28">
        <v>11640</v>
      </c>
      <c r="F1192" s="60"/>
      <c r="G1192" s="61"/>
    </row>
    <row r="1193" spans="1:7" s="67" customFormat="1" ht="35.25" customHeight="1" x14ac:dyDescent="0.25">
      <c r="A1193" s="28">
        <f t="shared" si="32"/>
        <v>1126</v>
      </c>
      <c r="B1193" s="53" t="s">
        <v>1931</v>
      </c>
      <c r="C1193" s="53" t="s">
        <v>1932</v>
      </c>
      <c r="D1193" s="28" t="s">
        <v>490</v>
      </c>
      <c r="E1193" s="28">
        <v>18000</v>
      </c>
      <c r="F1193" s="60"/>
      <c r="G1193" s="61"/>
    </row>
    <row r="1194" spans="1:7" s="67" customFormat="1" ht="35.25" customHeight="1" x14ac:dyDescent="0.25">
      <c r="A1194" s="28">
        <f t="shared" si="32"/>
        <v>1127</v>
      </c>
      <c r="B1194" s="53" t="s">
        <v>1933</v>
      </c>
      <c r="C1194" s="53" t="s">
        <v>1934</v>
      </c>
      <c r="D1194" s="28" t="s">
        <v>490</v>
      </c>
      <c r="E1194" s="28">
        <v>18000</v>
      </c>
      <c r="F1194" s="60"/>
      <c r="G1194" s="61"/>
    </row>
    <row r="1195" spans="1:7" s="67" customFormat="1" ht="42.75" customHeight="1" x14ac:dyDescent="0.25">
      <c r="A1195" s="28">
        <f t="shared" si="32"/>
        <v>1128</v>
      </c>
      <c r="B1195" s="53" t="s">
        <v>1935</v>
      </c>
      <c r="C1195" s="53" t="s">
        <v>1936</v>
      </c>
      <c r="D1195" s="28" t="s">
        <v>490</v>
      </c>
      <c r="E1195" s="28">
        <v>18000</v>
      </c>
      <c r="F1195" s="60"/>
      <c r="G1195" s="61"/>
    </row>
    <row r="1196" spans="1:7" s="67" customFormat="1" ht="35.25" customHeight="1" x14ac:dyDescent="0.25">
      <c r="A1196" s="28">
        <f t="shared" si="32"/>
        <v>1129</v>
      </c>
      <c r="B1196" s="53" t="s">
        <v>1937</v>
      </c>
      <c r="C1196" s="53" t="s">
        <v>1938</v>
      </c>
      <c r="D1196" s="28" t="s">
        <v>490</v>
      </c>
      <c r="E1196" s="28">
        <v>18000</v>
      </c>
      <c r="F1196" s="60"/>
      <c r="G1196" s="61"/>
    </row>
    <row r="1197" spans="1:7" s="67" customFormat="1" ht="38.25" x14ac:dyDescent="0.25">
      <c r="A1197" s="28">
        <f t="shared" si="32"/>
        <v>1130</v>
      </c>
      <c r="B1197" s="53" t="s">
        <v>1939</v>
      </c>
      <c r="C1197" s="53" t="s">
        <v>1940</v>
      </c>
      <c r="D1197" s="28" t="s">
        <v>490</v>
      </c>
      <c r="E1197" s="28">
        <v>18000</v>
      </c>
      <c r="F1197" s="60"/>
      <c r="G1197" s="61"/>
    </row>
    <row r="1198" spans="1:7" s="67" customFormat="1" ht="25.5" x14ac:dyDescent="0.25">
      <c r="A1198" s="28">
        <f t="shared" si="32"/>
        <v>1131</v>
      </c>
      <c r="B1198" s="53" t="s">
        <v>3211</v>
      </c>
      <c r="C1198" s="53" t="s">
        <v>3212</v>
      </c>
      <c r="D1198" s="28" t="s">
        <v>1384</v>
      </c>
      <c r="E1198" s="28">
        <v>7440</v>
      </c>
      <c r="F1198" s="60"/>
      <c r="G1198" s="61"/>
    </row>
    <row r="1199" spans="1:7" s="67" customFormat="1" ht="51" x14ac:dyDescent="0.25">
      <c r="A1199" s="28">
        <f t="shared" si="32"/>
        <v>1132</v>
      </c>
      <c r="B1199" s="53" t="s">
        <v>1941</v>
      </c>
      <c r="C1199" s="53" t="s">
        <v>1942</v>
      </c>
      <c r="D1199" s="28" t="s">
        <v>490</v>
      </c>
      <c r="E1199" s="28">
        <v>10320</v>
      </c>
      <c r="F1199" s="60"/>
      <c r="G1199" s="61"/>
    </row>
    <row r="1200" spans="1:7" s="67" customFormat="1" ht="18.75" customHeight="1" x14ac:dyDescent="0.25">
      <c r="A1200" s="139" t="s">
        <v>1943</v>
      </c>
      <c r="B1200" s="140"/>
      <c r="C1200" s="140"/>
      <c r="D1200" s="140"/>
      <c r="E1200" s="141"/>
      <c r="F1200" s="60"/>
      <c r="G1200" s="61"/>
    </row>
    <row r="1201" spans="1:7" s="67" customFormat="1" ht="38.25" x14ac:dyDescent="0.25">
      <c r="A1201" s="28">
        <f>A1199+1</f>
        <v>1133</v>
      </c>
      <c r="B1201" s="53" t="s">
        <v>1944</v>
      </c>
      <c r="C1201" s="53" t="s">
        <v>1945</v>
      </c>
      <c r="D1201" s="28" t="s">
        <v>490</v>
      </c>
      <c r="E1201" s="28">
        <v>3960</v>
      </c>
      <c r="F1201" s="60"/>
      <c r="G1201" s="61"/>
    </row>
    <row r="1202" spans="1:7" s="67" customFormat="1" ht="12.75" x14ac:dyDescent="0.25">
      <c r="A1202" s="28">
        <f>A1201+1</f>
        <v>1134</v>
      </c>
      <c r="B1202" s="53" t="s">
        <v>1946</v>
      </c>
      <c r="C1202" s="53" t="s">
        <v>1947</v>
      </c>
      <c r="D1202" s="28" t="s">
        <v>490</v>
      </c>
      <c r="E1202" s="28">
        <v>5160</v>
      </c>
      <c r="F1202" s="60"/>
      <c r="G1202" s="61"/>
    </row>
    <row r="1203" spans="1:7" s="67" customFormat="1" ht="25.5" x14ac:dyDescent="0.25">
      <c r="A1203" s="28">
        <f>A1202+1</f>
        <v>1135</v>
      </c>
      <c r="B1203" s="53" t="s">
        <v>1948</v>
      </c>
      <c r="C1203" s="53" t="s">
        <v>1949</v>
      </c>
      <c r="D1203" s="28" t="s">
        <v>490</v>
      </c>
      <c r="E1203" s="28">
        <v>2640</v>
      </c>
      <c r="F1203" s="60"/>
      <c r="G1203" s="61"/>
    </row>
    <row r="1204" spans="1:7" s="67" customFormat="1" ht="38.25" x14ac:dyDescent="0.25">
      <c r="A1204" s="28">
        <f>A1203+1</f>
        <v>1136</v>
      </c>
      <c r="B1204" s="53" t="s">
        <v>1950</v>
      </c>
      <c r="C1204" s="53" t="s">
        <v>1951</v>
      </c>
      <c r="D1204" s="28" t="s">
        <v>490</v>
      </c>
      <c r="E1204" s="28">
        <v>3960</v>
      </c>
      <c r="F1204" s="60"/>
      <c r="G1204" s="61"/>
    </row>
    <row r="1205" spans="1:7" s="67" customFormat="1" ht="18.75" customHeight="1" x14ac:dyDescent="0.25">
      <c r="A1205" s="139" t="s">
        <v>1952</v>
      </c>
      <c r="B1205" s="140"/>
      <c r="C1205" s="140"/>
      <c r="D1205" s="140"/>
      <c r="E1205" s="141"/>
      <c r="F1205" s="60"/>
      <c r="G1205" s="61"/>
    </row>
    <row r="1206" spans="1:7" s="67" customFormat="1" ht="36.75" customHeight="1" x14ac:dyDescent="0.25">
      <c r="A1206" s="28">
        <f>A1204+1</f>
        <v>1137</v>
      </c>
      <c r="B1206" s="53" t="s">
        <v>1953</v>
      </c>
      <c r="C1206" s="72" t="s">
        <v>1954</v>
      </c>
      <c r="D1206" s="28" t="s">
        <v>490</v>
      </c>
      <c r="E1206" s="28">
        <v>1320</v>
      </c>
      <c r="F1206" s="60"/>
      <c r="G1206" s="61"/>
    </row>
    <row r="1207" spans="1:7" s="67" customFormat="1" ht="36.75" customHeight="1" x14ac:dyDescent="0.25">
      <c r="A1207" s="28">
        <f>A1206+1</f>
        <v>1138</v>
      </c>
      <c r="B1207" s="53" t="s">
        <v>1955</v>
      </c>
      <c r="C1207" s="72" t="s">
        <v>1956</v>
      </c>
      <c r="D1207" s="28" t="s">
        <v>490</v>
      </c>
      <c r="E1207" s="28">
        <v>1320</v>
      </c>
      <c r="F1207" s="60"/>
      <c r="G1207" s="61"/>
    </row>
    <row r="1208" spans="1:7" s="67" customFormat="1" ht="36.75" customHeight="1" x14ac:dyDescent="0.25">
      <c r="A1208" s="28">
        <f t="shared" ref="A1208:A1216" si="33">A1207+1</f>
        <v>1139</v>
      </c>
      <c r="B1208" s="53" t="s">
        <v>1957</v>
      </c>
      <c r="C1208" s="72" t="s">
        <v>1958</v>
      </c>
      <c r="D1208" s="28" t="s">
        <v>490</v>
      </c>
      <c r="E1208" s="28">
        <v>1320</v>
      </c>
      <c r="F1208" s="60"/>
      <c r="G1208" s="61"/>
    </row>
    <row r="1209" spans="1:7" s="67" customFormat="1" ht="36.75" customHeight="1" x14ac:dyDescent="0.25">
      <c r="A1209" s="28">
        <f t="shared" si="33"/>
        <v>1140</v>
      </c>
      <c r="B1209" s="53" t="s">
        <v>1959</v>
      </c>
      <c r="C1209" s="72" t="s">
        <v>1960</v>
      </c>
      <c r="D1209" s="28" t="s">
        <v>490</v>
      </c>
      <c r="E1209" s="28">
        <v>2040</v>
      </c>
      <c r="F1209" s="60"/>
      <c r="G1209" s="61"/>
    </row>
    <row r="1210" spans="1:7" s="67" customFormat="1" ht="36.75" customHeight="1" x14ac:dyDescent="0.25">
      <c r="A1210" s="28">
        <f t="shared" si="33"/>
        <v>1141</v>
      </c>
      <c r="B1210" s="53" t="s">
        <v>1961</v>
      </c>
      <c r="C1210" s="72" t="s">
        <v>1962</v>
      </c>
      <c r="D1210" s="28" t="s">
        <v>490</v>
      </c>
      <c r="E1210" s="28">
        <v>2040</v>
      </c>
      <c r="F1210" s="60"/>
      <c r="G1210" s="61"/>
    </row>
    <row r="1211" spans="1:7" s="67" customFormat="1" ht="31.5" customHeight="1" x14ac:dyDescent="0.25">
      <c r="A1211" s="28">
        <f t="shared" si="33"/>
        <v>1142</v>
      </c>
      <c r="B1211" s="53" t="s">
        <v>1963</v>
      </c>
      <c r="C1211" s="72" t="s">
        <v>1964</v>
      </c>
      <c r="D1211" s="28" t="s">
        <v>490</v>
      </c>
      <c r="E1211" s="28">
        <v>2040</v>
      </c>
      <c r="F1211" s="60"/>
      <c r="G1211" s="61"/>
    </row>
    <row r="1212" spans="1:7" s="67" customFormat="1" ht="42" customHeight="1" x14ac:dyDescent="0.25">
      <c r="A1212" s="28">
        <f t="shared" si="33"/>
        <v>1143</v>
      </c>
      <c r="B1212" s="53" t="s">
        <v>1965</v>
      </c>
      <c r="C1212" s="72" t="s">
        <v>1966</v>
      </c>
      <c r="D1212" s="28" t="s">
        <v>490</v>
      </c>
      <c r="E1212" s="28">
        <v>3960</v>
      </c>
      <c r="F1212" s="60"/>
      <c r="G1212" s="61"/>
    </row>
    <row r="1213" spans="1:7" s="67" customFormat="1" ht="33" customHeight="1" x14ac:dyDescent="0.25">
      <c r="A1213" s="28">
        <f t="shared" si="33"/>
        <v>1144</v>
      </c>
      <c r="B1213" s="53" t="s">
        <v>1967</v>
      </c>
      <c r="C1213" s="72" t="s">
        <v>1968</v>
      </c>
      <c r="D1213" s="28" t="s">
        <v>490</v>
      </c>
      <c r="E1213" s="28">
        <v>4560</v>
      </c>
      <c r="F1213" s="60"/>
      <c r="G1213" s="61"/>
    </row>
    <row r="1214" spans="1:7" s="67" customFormat="1" ht="38.25" x14ac:dyDescent="0.25">
      <c r="A1214" s="28">
        <f t="shared" si="33"/>
        <v>1145</v>
      </c>
      <c r="B1214" s="53" t="s">
        <v>1969</v>
      </c>
      <c r="C1214" s="72" t="s">
        <v>1970</v>
      </c>
      <c r="D1214" s="28" t="s">
        <v>490</v>
      </c>
      <c r="E1214" s="28">
        <v>4200</v>
      </c>
      <c r="F1214" s="60"/>
      <c r="G1214" s="61"/>
    </row>
    <row r="1215" spans="1:7" s="67" customFormat="1" ht="17.25" customHeight="1" x14ac:dyDescent="0.25">
      <c r="A1215" s="28">
        <f t="shared" si="33"/>
        <v>1146</v>
      </c>
      <c r="B1215" s="53" t="s">
        <v>1971</v>
      </c>
      <c r="C1215" s="72" t="s">
        <v>1972</v>
      </c>
      <c r="D1215" s="28" t="s">
        <v>490</v>
      </c>
      <c r="E1215" s="28">
        <v>1320</v>
      </c>
      <c r="F1215" s="60"/>
      <c r="G1215" s="61"/>
    </row>
    <row r="1216" spans="1:7" s="67" customFormat="1" ht="17.25" customHeight="1" x14ac:dyDescent="0.25">
      <c r="A1216" s="28">
        <f t="shared" si="33"/>
        <v>1147</v>
      </c>
      <c r="B1216" s="53" t="s">
        <v>1973</v>
      </c>
      <c r="C1216" s="72" t="s">
        <v>1974</v>
      </c>
      <c r="D1216" s="28" t="s">
        <v>490</v>
      </c>
      <c r="E1216" s="28">
        <v>4200</v>
      </c>
      <c r="F1216" s="60"/>
      <c r="G1216" s="61"/>
    </row>
    <row r="1217" spans="1:7" s="67" customFormat="1" ht="18.75" customHeight="1" x14ac:dyDescent="0.25">
      <c r="A1217" s="136" t="s">
        <v>1975</v>
      </c>
      <c r="B1217" s="137"/>
      <c r="C1217" s="137"/>
      <c r="D1217" s="137"/>
      <c r="E1217" s="138"/>
      <c r="F1217" s="60"/>
      <c r="G1217" s="61"/>
    </row>
    <row r="1218" spans="1:7" s="67" customFormat="1" ht="25.5" x14ac:dyDescent="0.25">
      <c r="A1218" s="28">
        <f>A1216+1</f>
        <v>1148</v>
      </c>
      <c r="B1218" s="29" t="s">
        <v>1976</v>
      </c>
      <c r="C1218" s="29" t="s">
        <v>1977</v>
      </c>
      <c r="D1218" s="28" t="s">
        <v>490</v>
      </c>
      <c r="E1218" s="28">
        <v>7800</v>
      </c>
      <c r="F1218" s="60"/>
      <c r="G1218" s="61"/>
    </row>
    <row r="1219" spans="1:7" s="67" customFormat="1" ht="12.75" x14ac:dyDescent="0.25">
      <c r="A1219" s="28">
        <f>A1218+1</f>
        <v>1149</v>
      </c>
      <c r="B1219" s="29" t="s">
        <v>1978</v>
      </c>
      <c r="C1219" s="29" t="s">
        <v>1979</v>
      </c>
      <c r="D1219" s="28" t="s">
        <v>490</v>
      </c>
      <c r="E1219" s="28">
        <v>12240</v>
      </c>
      <c r="F1219" s="60"/>
      <c r="G1219" s="61"/>
    </row>
    <row r="1220" spans="1:7" s="67" customFormat="1" ht="12.75" x14ac:dyDescent="0.25">
      <c r="A1220" s="28">
        <f>A1219+1</f>
        <v>1150</v>
      </c>
      <c r="B1220" s="72" t="s">
        <v>1980</v>
      </c>
      <c r="C1220" s="72" t="s">
        <v>1981</v>
      </c>
      <c r="D1220" s="28" t="s">
        <v>490</v>
      </c>
      <c r="E1220" s="28">
        <v>10920</v>
      </c>
      <c r="F1220" s="60"/>
      <c r="G1220" s="61"/>
    </row>
    <row r="1221" spans="1:7" s="67" customFormat="1" ht="25.5" x14ac:dyDescent="0.25">
      <c r="A1221" s="28">
        <f>A1220+1</f>
        <v>1151</v>
      </c>
      <c r="B1221" s="72" t="s">
        <v>1982</v>
      </c>
      <c r="C1221" s="72" t="s">
        <v>1983</v>
      </c>
      <c r="D1221" s="28" t="s">
        <v>490</v>
      </c>
      <c r="E1221" s="28">
        <v>7800</v>
      </c>
      <c r="F1221" s="60"/>
      <c r="G1221" s="61"/>
    </row>
    <row r="1222" spans="1:7" s="67" customFormat="1" ht="18.75" customHeight="1" x14ac:dyDescent="0.25">
      <c r="A1222" s="136" t="s">
        <v>1984</v>
      </c>
      <c r="B1222" s="137"/>
      <c r="C1222" s="137"/>
      <c r="D1222" s="137"/>
      <c r="E1222" s="138"/>
      <c r="F1222" s="60"/>
      <c r="G1222" s="61"/>
    </row>
    <row r="1223" spans="1:7" s="67" customFormat="1" ht="12.75" x14ac:dyDescent="0.25">
      <c r="A1223" s="28">
        <f>A1221+1</f>
        <v>1152</v>
      </c>
      <c r="B1223" s="29" t="s">
        <v>1985</v>
      </c>
      <c r="C1223" s="28" t="s">
        <v>1986</v>
      </c>
      <c r="D1223" s="28" t="s">
        <v>356</v>
      </c>
      <c r="E1223" s="28">
        <v>25680</v>
      </c>
      <c r="F1223" s="60"/>
      <c r="G1223" s="61"/>
    </row>
    <row r="1224" spans="1:7" s="67" customFormat="1" ht="12.75" x14ac:dyDescent="0.25">
      <c r="A1224" s="28">
        <f>A1223+1</f>
        <v>1153</v>
      </c>
      <c r="B1224" s="29" t="s">
        <v>1987</v>
      </c>
      <c r="C1224" s="28" t="s">
        <v>1986</v>
      </c>
      <c r="D1224" s="28" t="s">
        <v>356</v>
      </c>
      <c r="E1224" s="28">
        <v>12840</v>
      </c>
      <c r="F1224" s="60"/>
      <c r="G1224" s="61"/>
    </row>
    <row r="1225" spans="1:7" s="67" customFormat="1" ht="38.25" x14ac:dyDescent="0.25">
      <c r="A1225" s="28">
        <f t="shared" ref="A1225:A1273" si="34">A1224+1</f>
        <v>1154</v>
      </c>
      <c r="B1225" s="29" t="s">
        <v>1988</v>
      </c>
      <c r="C1225" s="28" t="s">
        <v>1989</v>
      </c>
      <c r="D1225" s="28" t="s">
        <v>490</v>
      </c>
      <c r="E1225" s="28">
        <v>8400</v>
      </c>
      <c r="F1225" s="60"/>
      <c r="G1225" s="61"/>
    </row>
    <row r="1226" spans="1:7" s="67" customFormat="1" ht="25.5" x14ac:dyDescent="0.25">
      <c r="A1226" s="28">
        <f t="shared" si="34"/>
        <v>1155</v>
      </c>
      <c r="B1226" s="73" t="s">
        <v>1990</v>
      </c>
      <c r="C1226" s="74" t="s">
        <v>1991</v>
      </c>
      <c r="D1226" s="74" t="s">
        <v>490</v>
      </c>
      <c r="E1226" s="28">
        <v>9000</v>
      </c>
      <c r="F1226" s="60"/>
      <c r="G1226" s="61"/>
    </row>
    <row r="1227" spans="1:7" s="67" customFormat="1" ht="38.25" x14ac:dyDescent="0.25">
      <c r="A1227" s="28">
        <f t="shared" si="34"/>
        <v>1156</v>
      </c>
      <c r="B1227" s="73" t="s">
        <v>1992</v>
      </c>
      <c r="C1227" s="74" t="s">
        <v>1993</v>
      </c>
      <c r="D1227" s="74" t="s">
        <v>490</v>
      </c>
      <c r="E1227" s="28">
        <v>10320</v>
      </c>
      <c r="F1227" s="60"/>
      <c r="G1227" s="61"/>
    </row>
    <row r="1228" spans="1:7" s="67" customFormat="1" ht="38.25" x14ac:dyDescent="0.25">
      <c r="A1228" s="28">
        <f t="shared" si="34"/>
        <v>1157</v>
      </c>
      <c r="B1228" s="73" t="s">
        <v>1994</v>
      </c>
      <c r="C1228" s="74" t="s">
        <v>1995</v>
      </c>
      <c r="D1228" s="74" t="s">
        <v>490</v>
      </c>
      <c r="E1228" s="28">
        <v>12480</v>
      </c>
      <c r="F1228" s="60"/>
      <c r="G1228" s="61"/>
    </row>
    <row r="1229" spans="1:7" s="67" customFormat="1" ht="12.75" x14ac:dyDescent="0.25">
      <c r="A1229" s="28">
        <f t="shared" si="34"/>
        <v>1158</v>
      </c>
      <c r="B1229" s="73" t="s">
        <v>1996</v>
      </c>
      <c r="C1229" s="74" t="s">
        <v>1997</v>
      </c>
      <c r="D1229" s="74" t="s">
        <v>490</v>
      </c>
      <c r="E1229" s="28">
        <v>19320</v>
      </c>
      <c r="F1229" s="60"/>
      <c r="G1229" s="61"/>
    </row>
    <row r="1230" spans="1:7" s="67" customFormat="1" ht="12.75" x14ac:dyDescent="0.25">
      <c r="A1230" s="28">
        <f t="shared" si="34"/>
        <v>1159</v>
      </c>
      <c r="B1230" s="73" t="s">
        <v>1998</v>
      </c>
      <c r="C1230" s="74" t="s">
        <v>1997</v>
      </c>
      <c r="D1230" s="74" t="s">
        <v>490</v>
      </c>
      <c r="E1230" s="28">
        <v>19320</v>
      </c>
      <c r="F1230" s="60"/>
      <c r="G1230" s="61"/>
    </row>
    <row r="1231" spans="1:7" s="67" customFormat="1" ht="12.75" x14ac:dyDescent="0.25">
      <c r="A1231" s="28">
        <f t="shared" si="34"/>
        <v>1160</v>
      </c>
      <c r="B1231" s="73" t="s">
        <v>1999</v>
      </c>
      <c r="C1231" s="74" t="s">
        <v>2000</v>
      </c>
      <c r="D1231" s="74" t="s">
        <v>490</v>
      </c>
      <c r="E1231" s="28">
        <v>15480</v>
      </c>
      <c r="F1231" s="60"/>
      <c r="G1231" s="61"/>
    </row>
    <row r="1232" spans="1:7" s="67" customFormat="1" ht="12.75" x14ac:dyDescent="0.25">
      <c r="A1232" s="28">
        <f t="shared" si="34"/>
        <v>1161</v>
      </c>
      <c r="B1232" s="73" t="s">
        <v>2001</v>
      </c>
      <c r="C1232" s="74" t="s">
        <v>2002</v>
      </c>
      <c r="D1232" s="74" t="s">
        <v>490</v>
      </c>
      <c r="E1232" s="28">
        <v>15480</v>
      </c>
      <c r="F1232" s="60"/>
      <c r="G1232" s="61"/>
    </row>
    <row r="1233" spans="1:7" s="67" customFormat="1" ht="12.75" x14ac:dyDescent="0.25">
      <c r="A1233" s="28">
        <f t="shared" si="34"/>
        <v>1162</v>
      </c>
      <c r="B1233" s="73" t="s">
        <v>2003</v>
      </c>
      <c r="C1233" s="74" t="s">
        <v>2004</v>
      </c>
      <c r="D1233" s="74" t="s">
        <v>490</v>
      </c>
      <c r="E1233" s="28">
        <v>15480</v>
      </c>
      <c r="F1233" s="60"/>
      <c r="G1233" s="61"/>
    </row>
    <row r="1234" spans="1:7" s="67" customFormat="1" ht="12.75" x14ac:dyDescent="0.25">
      <c r="A1234" s="28">
        <f t="shared" si="34"/>
        <v>1163</v>
      </c>
      <c r="B1234" s="73" t="s">
        <v>2005</v>
      </c>
      <c r="C1234" s="75" t="s">
        <v>2006</v>
      </c>
      <c r="D1234" s="74" t="s">
        <v>490</v>
      </c>
      <c r="E1234" s="28">
        <v>15480</v>
      </c>
      <c r="F1234" s="60"/>
      <c r="G1234" s="61"/>
    </row>
    <row r="1235" spans="1:7" s="67" customFormat="1" ht="25.5" x14ac:dyDescent="0.25">
      <c r="A1235" s="28">
        <f t="shared" si="34"/>
        <v>1164</v>
      </c>
      <c r="B1235" s="73" t="s">
        <v>2007</v>
      </c>
      <c r="C1235" s="74" t="s">
        <v>2002</v>
      </c>
      <c r="D1235" s="74" t="s">
        <v>490</v>
      </c>
      <c r="E1235" s="28">
        <v>15480</v>
      </c>
      <c r="F1235" s="60"/>
      <c r="G1235" s="61"/>
    </row>
    <row r="1236" spans="1:7" s="67" customFormat="1" ht="25.5" x14ac:dyDescent="0.25">
      <c r="A1236" s="28">
        <f t="shared" si="34"/>
        <v>1165</v>
      </c>
      <c r="B1236" s="73" t="s">
        <v>2008</v>
      </c>
      <c r="C1236" s="74" t="s">
        <v>2002</v>
      </c>
      <c r="D1236" s="74" t="s">
        <v>490</v>
      </c>
      <c r="E1236" s="28">
        <v>15480</v>
      </c>
      <c r="F1236" s="60"/>
      <c r="G1236" s="61"/>
    </row>
    <row r="1237" spans="1:7" s="67" customFormat="1" ht="12.75" x14ac:dyDescent="0.25">
      <c r="A1237" s="28">
        <f t="shared" si="34"/>
        <v>1166</v>
      </c>
      <c r="B1237" s="73" t="s">
        <v>2009</v>
      </c>
      <c r="C1237" s="74" t="s">
        <v>2002</v>
      </c>
      <c r="D1237" s="74" t="s">
        <v>490</v>
      </c>
      <c r="E1237" s="28">
        <v>15480</v>
      </c>
      <c r="F1237" s="60"/>
      <c r="G1237" s="61"/>
    </row>
    <row r="1238" spans="1:7" s="67" customFormat="1" ht="25.5" x14ac:dyDescent="0.25">
      <c r="A1238" s="28">
        <f t="shared" si="34"/>
        <v>1167</v>
      </c>
      <c r="B1238" s="73" t="s">
        <v>2010</v>
      </c>
      <c r="C1238" s="74" t="s">
        <v>2011</v>
      </c>
      <c r="D1238" s="74" t="s">
        <v>490</v>
      </c>
      <c r="E1238" s="28">
        <v>77040</v>
      </c>
      <c r="F1238" s="60"/>
      <c r="G1238" s="61"/>
    </row>
    <row r="1239" spans="1:7" s="67" customFormat="1" ht="12.75" x14ac:dyDescent="0.25">
      <c r="A1239" s="28">
        <f t="shared" si="34"/>
        <v>1168</v>
      </c>
      <c r="B1239" s="73" t="s">
        <v>2012</v>
      </c>
      <c r="C1239" s="74" t="s">
        <v>2013</v>
      </c>
      <c r="D1239" s="74" t="s">
        <v>490</v>
      </c>
      <c r="E1239" s="28">
        <v>38520</v>
      </c>
      <c r="F1239" s="60"/>
      <c r="G1239" s="61"/>
    </row>
    <row r="1240" spans="1:7" s="67" customFormat="1" ht="12.75" x14ac:dyDescent="0.25">
      <c r="A1240" s="28">
        <f t="shared" si="34"/>
        <v>1169</v>
      </c>
      <c r="B1240" s="73" t="s">
        <v>2014</v>
      </c>
      <c r="C1240" s="74" t="s">
        <v>2013</v>
      </c>
      <c r="D1240" s="74" t="s">
        <v>490</v>
      </c>
      <c r="E1240" s="28">
        <v>38520</v>
      </c>
      <c r="F1240" s="60"/>
      <c r="G1240" s="61"/>
    </row>
    <row r="1241" spans="1:7" s="67" customFormat="1" ht="12.75" x14ac:dyDescent="0.25">
      <c r="A1241" s="28">
        <f t="shared" si="34"/>
        <v>1170</v>
      </c>
      <c r="B1241" s="73" t="s">
        <v>2015</v>
      </c>
      <c r="C1241" s="74" t="s">
        <v>2013</v>
      </c>
      <c r="D1241" s="74" t="s">
        <v>490</v>
      </c>
      <c r="E1241" s="28">
        <v>38520</v>
      </c>
      <c r="F1241" s="60"/>
      <c r="G1241" s="61"/>
    </row>
    <row r="1242" spans="1:7" s="67" customFormat="1" ht="12.75" x14ac:dyDescent="0.25">
      <c r="A1242" s="28">
        <f t="shared" si="34"/>
        <v>1171</v>
      </c>
      <c r="B1242" s="73" t="s">
        <v>2016</v>
      </c>
      <c r="C1242" s="74" t="s">
        <v>2013</v>
      </c>
      <c r="D1242" s="74" t="s">
        <v>490</v>
      </c>
      <c r="E1242" s="28">
        <v>38520</v>
      </c>
      <c r="F1242" s="60"/>
      <c r="G1242" s="61"/>
    </row>
    <row r="1243" spans="1:7" s="67" customFormat="1" ht="25.5" x14ac:dyDescent="0.25">
      <c r="A1243" s="28">
        <f t="shared" si="34"/>
        <v>1172</v>
      </c>
      <c r="B1243" s="73" t="s">
        <v>2017</v>
      </c>
      <c r="C1243" s="74" t="s">
        <v>2013</v>
      </c>
      <c r="D1243" s="74" t="s">
        <v>490</v>
      </c>
      <c r="E1243" s="28">
        <v>38520</v>
      </c>
      <c r="F1243" s="60"/>
      <c r="G1243" s="61"/>
    </row>
    <row r="1244" spans="1:7" s="67" customFormat="1" ht="12.75" x14ac:dyDescent="0.25">
      <c r="A1244" s="28">
        <f t="shared" si="34"/>
        <v>1173</v>
      </c>
      <c r="B1244" s="73" t="s">
        <v>2018</v>
      </c>
      <c r="C1244" s="74" t="s">
        <v>2019</v>
      </c>
      <c r="D1244" s="74" t="s">
        <v>490</v>
      </c>
      <c r="E1244" s="28">
        <v>23160</v>
      </c>
      <c r="F1244" s="60"/>
      <c r="G1244" s="61"/>
    </row>
    <row r="1245" spans="1:7" s="67" customFormat="1" ht="25.5" x14ac:dyDescent="0.25">
      <c r="A1245" s="28">
        <f t="shared" si="34"/>
        <v>1174</v>
      </c>
      <c r="B1245" s="73" t="s">
        <v>2020</v>
      </c>
      <c r="C1245" s="74" t="s">
        <v>834</v>
      </c>
      <c r="D1245" s="74" t="s">
        <v>490</v>
      </c>
      <c r="E1245" s="28">
        <v>3600</v>
      </c>
      <c r="F1245" s="60"/>
      <c r="G1245" s="61"/>
    </row>
    <row r="1246" spans="1:7" s="67" customFormat="1" ht="25.5" x14ac:dyDescent="0.25">
      <c r="A1246" s="28">
        <f t="shared" si="34"/>
        <v>1175</v>
      </c>
      <c r="B1246" s="73" t="s">
        <v>2021</v>
      </c>
      <c r="C1246" s="74" t="s">
        <v>2022</v>
      </c>
      <c r="D1246" s="74" t="s">
        <v>490</v>
      </c>
      <c r="E1246" s="28">
        <v>3240</v>
      </c>
      <c r="F1246" s="60"/>
      <c r="G1246" s="61"/>
    </row>
    <row r="1247" spans="1:7" s="67" customFormat="1" ht="25.5" x14ac:dyDescent="0.25">
      <c r="A1247" s="28">
        <f t="shared" si="34"/>
        <v>1176</v>
      </c>
      <c r="B1247" s="73" t="s">
        <v>2023</v>
      </c>
      <c r="C1247" s="74" t="s">
        <v>2024</v>
      </c>
      <c r="D1247" s="74" t="s">
        <v>490</v>
      </c>
      <c r="E1247" s="28">
        <v>23160</v>
      </c>
      <c r="F1247" s="60"/>
      <c r="G1247" s="61"/>
    </row>
    <row r="1248" spans="1:7" s="67" customFormat="1" ht="25.5" x14ac:dyDescent="0.25">
      <c r="A1248" s="28">
        <f t="shared" si="34"/>
        <v>1177</v>
      </c>
      <c r="B1248" s="73" t="s">
        <v>2025</v>
      </c>
      <c r="C1248" s="74" t="s">
        <v>2026</v>
      </c>
      <c r="D1248" s="74" t="s">
        <v>356</v>
      </c>
      <c r="E1248" s="28">
        <v>138960</v>
      </c>
      <c r="F1248" s="60"/>
      <c r="G1248" s="61"/>
    </row>
    <row r="1249" spans="1:10" s="67" customFormat="1" ht="25.5" x14ac:dyDescent="0.25">
      <c r="A1249" s="28">
        <f t="shared" si="34"/>
        <v>1178</v>
      </c>
      <c r="B1249" s="73" t="s">
        <v>2027</v>
      </c>
      <c r="C1249" s="74" t="s">
        <v>2028</v>
      </c>
      <c r="D1249" s="74" t="s">
        <v>356</v>
      </c>
      <c r="E1249" s="28">
        <v>159240</v>
      </c>
      <c r="F1249" s="60"/>
      <c r="G1249" s="61"/>
    </row>
    <row r="1250" spans="1:10" s="67" customFormat="1" ht="25.5" x14ac:dyDescent="0.25">
      <c r="A1250" s="28">
        <f t="shared" si="34"/>
        <v>1179</v>
      </c>
      <c r="B1250" s="73" t="s">
        <v>2029</v>
      </c>
      <c r="C1250" s="74" t="s">
        <v>2030</v>
      </c>
      <c r="D1250" s="74" t="s">
        <v>490</v>
      </c>
      <c r="E1250" s="28">
        <v>228600</v>
      </c>
      <c r="F1250" s="60"/>
      <c r="G1250" s="61"/>
    </row>
    <row r="1251" spans="1:10" s="67" customFormat="1" ht="25.5" x14ac:dyDescent="0.25">
      <c r="A1251" s="28">
        <f t="shared" si="34"/>
        <v>1180</v>
      </c>
      <c r="B1251" s="73" t="s">
        <v>2031</v>
      </c>
      <c r="C1251" s="74" t="s">
        <v>1986</v>
      </c>
      <c r="D1251" s="74" t="s">
        <v>490</v>
      </c>
      <c r="E1251" s="28">
        <v>314640</v>
      </c>
      <c r="F1251" s="60"/>
      <c r="G1251" s="61"/>
    </row>
    <row r="1252" spans="1:10" s="67" customFormat="1" ht="12.75" x14ac:dyDescent="0.25">
      <c r="A1252" s="28">
        <f t="shared" si="34"/>
        <v>1181</v>
      </c>
      <c r="B1252" s="73" t="s">
        <v>2032</v>
      </c>
      <c r="C1252" s="74" t="s">
        <v>1986</v>
      </c>
      <c r="D1252" s="74" t="s">
        <v>356</v>
      </c>
      <c r="E1252" s="28">
        <v>12840</v>
      </c>
      <c r="F1252" s="60"/>
      <c r="G1252" s="61"/>
    </row>
    <row r="1253" spans="1:10" s="67" customFormat="1" ht="25.5" x14ac:dyDescent="0.25">
      <c r="A1253" s="28">
        <f t="shared" si="34"/>
        <v>1182</v>
      </c>
      <c r="B1253" s="73" t="s">
        <v>2033</v>
      </c>
      <c r="C1253" s="74" t="s">
        <v>2034</v>
      </c>
      <c r="D1253" s="74" t="s">
        <v>490</v>
      </c>
      <c r="E1253" s="28">
        <v>3240</v>
      </c>
      <c r="F1253" s="60"/>
      <c r="G1253" s="61"/>
    </row>
    <row r="1254" spans="1:10" s="67" customFormat="1" ht="12.75" x14ac:dyDescent="0.25">
      <c r="A1254" s="28">
        <f t="shared" si="34"/>
        <v>1183</v>
      </c>
      <c r="B1254" s="73" t="s">
        <v>2035</v>
      </c>
      <c r="C1254" s="74" t="s">
        <v>1986</v>
      </c>
      <c r="D1254" s="74" t="s">
        <v>356</v>
      </c>
      <c r="E1254" s="28">
        <v>12840</v>
      </c>
      <c r="F1254" s="60"/>
      <c r="G1254" s="61"/>
    </row>
    <row r="1255" spans="1:10" s="67" customFormat="1" ht="12.75" x14ac:dyDescent="0.25">
      <c r="A1255" s="28">
        <f t="shared" si="34"/>
        <v>1184</v>
      </c>
      <c r="B1255" s="73" t="s">
        <v>2036</v>
      </c>
      <c r="C1255" s="74" t="s">
        <v>1986</v>
      </c>
      <c r="D1255" s="74" t="s">
        <v>356</v>
      </c>
      <c r="E1255" s="28">
        <v>12840</v>
      </c>
      <c r="F1255" s="60"/>
      <c r="G1255" s="61"/>
    </row>
    <row r="1256" spans="1:10" s="67" customFormat="1" ht="12.75" x14ac:dyDescent="0.25">
      <c r="A1256" s="28">
        <f t="shared" si="34"/>
        <v>1185</v>
      </c>
      <c r="B1256" s="73" t="s">
        <v>2037</v>
      </c>
      <c r="C1256" s="74" t="s">
        <v>1986</v>
      </c>
      <c r="D1256" s="74" t="s">
        <v>356</v>
      </c>
      <c r="E1256" s="28">
        <v>12840</v>
      </c>
      <c r="F1256" s="60"/>
      <c r="G1256" s="61"/>
    </row>
    <row r="1257" spans="1:10" s="67" customFormat="1" ht="12.75" x14ac:dyDescent="0.25">
      <c r="A1257" s="28">
        <f t="shared" si="34"/>
        <v>1186</v>
      </c>
      <c r="B1257" s="73" t="s">
        <v>2038</v>
      </c>
      <c r="C1257" s="74" t="s">
        <v>1986</v>
      </c>
      <c r="D1257" s="74" t="s">
        <v>356</v>
      </c>
      <c r="E1257" s="28">
        <v>960</v>
      </c>
      <c r="F1257" s="60"/>
      <c r="G1257" s="61"/>
    </row>
    <row r="1258" spans="1:10" s="67" customFormat="1" ht="25.5" x14ac:dyDescent="0.25">
      <c r="A1258" s="28">
        <f t="shared" si="34"/>
        <v>1187</v>
      </c>
      <c r="B1258" s="73" t="s">
        <v>2039</v>
      </c>
      <c r="C1258" s="74" t="s">
        <v>1986</v>
      </c>
      <c r="D1258" s="74" t="s">
        <v>356</v>
      </c>
      <c r="E1258" s="28">
        <v>600</v>
      </c>
      <c r="F1258" s="60"/>
      <c r="G1258" s="61"/>
      <c r="H1258" s="62"/>
      <c r="I1258" s="62"/>
      <c r="J1258" s="62"/>
    </row>
    <row r="1259" spans="1:10" s="67" customFormat="1" ht="38.25" x14ac:dyDescent="0.25">
      <c r="A1259" s="28">
        <f t="shared" si="34"/>
        <v>1188</v>
      </c>
      <c r="B1259" s="73" t="s">
        <v>2040</v>
      </c>
      <c r="C1259" s="74" t="s">
        <v>2041</v>
      </c>
      <c r="D1259" s="74" t="s">
        <v>490</v>
      </c>
      <c r="E1259" s="28">
        <v>11640</v>
      </c>
      <c r="F1259" s="60"/>
      <c r="G1259" s="61"/>
      <c r="H1259" s="62"/>
      <c r="I1259" s="62"/>
      <c r="J1259" s="62"/>
    </row>
    <row r="1260" spans="1:10" s="67" customFormat="1" ht="18" customHeight="1" x14ac:dyDescent="0.25">
      <c r="A1260" s="28">
        <f t="shared" si="34"/>
        <v>1189</v>
      </c>
      <c r="B1260" s="73" t="s">
        <v>2042</v>
      </c>
      <c r="C1260" s="74" t="s">
        <v>2043</v>
      </c>
      <c r="D1260" s="74" t="s">
        <v>490</v>
      </c>
      <c r="E1260" s="28">
        <v>10320</v>
      </c>
      <c r="F1260" s="60"/>
      <c r="G1260" s="61"/>
      <c r="H1260" s="62"/>
      <c r="I1260" s="62"/>
      <c r="J1260" s="62"/>
    </row>
    <row r="1261" spans="1:10" s="67" customFormat="1" ht="17.25" customHeight="1" x14ac:dyDescent="0.25">
      <c r="A1261" s="28">
        <f t="shared" si="34"/>
        <v>1190</v>
      </c>
      <c r="B1261" s="73" t="s">
        <v>2044</v>
      </c>
      <c r="C1261" s="74" t="s">
        <v>2045</v>
      </c>
      <c r="D1261" s="74" t="s">
        <v>490</v>
      </c>
      <c r="E1261" s="28">
        <v>3240</v>
      </c>
      <c r="F1261" s="60"/>
      <c r="G1261" s="61"/>
      <c r="H1261" s="62"/>
      <c r="I1261" s="62"/>
      <c r="J1261" s="62"/>
    </row>
    <row r="1262" spans="1:10" s="67" customFormat="1" ht="38.25" x14ac:dyDescent="0.25">
      <c r="A1262" s="28">
        <f t="shared" si="34"/>
        <v>1191</v>
      </c>
      <c r="B1262" s="73" t="s">
        <v>2046</v>
      </c>
      <c r="C1262" s="74" t="s">
        <v>2047</v>
      </c>
      <c r="D1262" s="74" t="s">
        <v>490</v>
      </c>
      <c r="E1262" s="28">
        <v>6600</v>
      </c>
      <c r="F1262" s="60"/>
      <c r="G1262" s="61"/>
      <c r="H1262" s="62"/>
      <c r="I1262" s="62"/>
      <c r="J1262" s="62"/>
    </row>
    <row r="1263" spans="1:10" s="67" customFormat="1" ht="25.5" x14ac:dyDescent="0.25">
      <c r="A1263" s="28">
        <f t="shared" si="34"/>
        <v>1192</v>
      </c>
      <c r="B1263" s="73" t="s">
        <v>2048</v>
      </c>
      <c r="C1263" s="74" t="s">
        <v>2049</v>
      </c>
      <c r="D1263" s="74" t="s">
        <v>490</v>
      </c>
      <c r="E1263" s="28">
        <v>9000</v>
      </c>
      <c r="F1263" s="60"/>
      <c r="G1263" s="61"/>
      <c r="H1263" s="62"/>
      <c r="I1263" s="62"/>
      <c r="J1263" s="62"/>
    </row>
    <row r="1264" spans="1:10" s="67" customFormat="1" ht="38.25" x14ac:dyDescent="0.25">
      <c r="A1264" s="28">
        <f t="shared" si="34"/>
        <v>1193</v>
      </c>
      <c r="B1264" s="73" t="s">
        <v>3216</v>
      </c>
      <c r="C1264" s="73" t="s">
        <v>2043</v>
      </c>
      <c r="D1264" s="28" t="s">
        <v>356</v>
      </c>
      <c r="E1264" s="28">
        <v>13824</v>
      </c>
      <c r="F1264" s="60"/>
      <c r="G1264" s="61"/>
      <c r="H1264" s="62"/>
      <c r="I1264" s="62"/>
      <c r="J1264" s="62"/>
    </row>
    <row r="1265" spans="1:11" s="67" customFormat="1" ht="38.25" x14ac:dyDescent="0.25">
      <c r="A1265" s="28">
        <f t="shared" si="34"/>
        <v>1194</v>
      </c>
      <c r="B1265" s="73" t="s">
        <v>3217</v>
      </c>
      <c r="C1265" s="73" t="s">
        <v>3218</v>
      </c>
      <c r="D1265" s="28" t="s">
        <v>356</v>
      </c>
      <c r="E1265" s="28">
        <v>11304</v>
      </c>
      <c r="F1265" s="60"/>
      <c r="G1265" s="61"/>
      <c r="H1265" s="62"/>
      <c r="I1265" s="62"/>
      <c r="J1265" s="62"/>
    </row>
    <row r="1266" spans="1:11" s="67" customFormat="1" ht="25.5" x14ac:dyDescent="0.25">
      <c r="A1266" s="28">
        <f t="shared" si="34"/>
        <v>1195</v>
      </c>
      <c r="B1266" s="29" t="s">
        <v>3232</v>
      </c>
      <c r="C1266" s="28" t="s">
        <v>3231</v>
      </c>
      <c r="D1266" s="29" t="s">
        <v>490</v>
      </c>
      <c r="E1266" s="28">
        <v>12840</v>
      </c>
      <c r="F1266" s="60"/>
      <c r="G1266" s="61"/>
      <c r="H1266" s="62"/>
      <c r="I1266" s="62"/>
      <c r="J1266" s="62"/>
    </row>
    <row r="1267" spans="1:11" s="67" customFormat="1" ht="38.25" x14ac:dyDescent="0.25">
      <c r="A1267" s="28">
        <f t="shared" si="34"/>
        <v>1196</v>
      </c>
      <c r="B1267" s="53" t="s">
        <v>3233</v>
      </c>
      <c r="C1267" s="88" t="s">
        <v>3234</v>
      </c>
      <c r="D1267" s="28" t="s">
        <v>490</v>
      </c>
      <c r="E1267" s="28">
        <v>14400</v>
      </c>
      <c r="F1267" s="60"/>
      <c r="G1267" s="61"/>
      <c r="H1267" s="62"/>
      <c r="I1267" s="62"/>
      <c r="J1267" s="62"/>
    </row>
    <row r="1268" spans="1:11" s="67" customFormat="1" ht="25.5" x14ac:dyDescent="0.25">
      <c r="A1268" s="28">
        <f t="shared" si="34"/>
        <v>1197</v>
      </c>
      <c r="B1268" s="73" t="s">
        <v>2050</v>
      </c>
      <c r="C1268" s="74" t="s">
        <v>2051</v>
      </c>
      <c r="D1268" s="74" t="s">
        <v>490</v>
      </c>
      <c r="E1268" s="28">
        <v>25680</v>
      </c>
      <c r="F1268" s="60"/>
      <c r="G1268" s="61"/>
      <c r="H1268" s="62"/>
      <c r="I1268" s="62"/>
      <c r="J1268" s="62"/>
    </row>
    <row r="1269" spans="1:11" s="67" customFormat="1" ht="25.5" x14ac:dyDescent="0.25">
      <c r="A1269" s="28">
        <f t="shared" si="34"/>
        <v>1198</v>
      </c>
      <c r="B1269" s="73" t="s">
        <v>2052</v>
      </c>
      <c r="C1269" s="74" t="s">
        <v>1995</v>
      </c>
      <c r="D1269" s="74" t="s">
        <v>490</v>
      </c>
      <c r="E1269" s="28">
        <v>34680</v>
      </c>
      <c r="F1269" s="60"/>
      <c r="G1269" s="61"/>
      <c r="H1269" s="62"/>
      <c r="I1269" s="62"/>
      <c r="J1269" s="62"/>
    </row>
    <row r="1270" spans="1:11" s="67" customFormat="1" ht="25.5" x14ac:dyDescent="0.25">
      <c r="A1270" s="28">
        <f t="shared" si="34"/>
        <v>1199</v>
      </c>
      <c r="B1270" s="29" t="s">
        <v>3235</v>
      </c>
      <c r="C1270" s="47" t="s">
        <v>2024</v>
      </c>
      <c r="D1270" s="47" t="s">
        <v>490</v>
      </c>
      <c r="E1270" s="28">
        <v>30000</v>
      </c>
      <c r="F1270" s="60"/>
      <c r="G1270" s="61"/>
      <c r="H1270" s="62"/>
      <c r="I1270" s="62"/>
      <c r="J1270" s="62"/>
    </row>
    <row r="1271" spans="1:11" s="67" customFormat="1" ht="38.25" x14ac:dyDescent="0.25">
      <c r="A1271" s="28">
        <f t="shared" si="34"/>
        <v>1200</v>
      </c>
      <c r="B1271" s="73" t="s">
        <v>2053</v>
      </c>
      <c r="C1271" s="74" t="s">
        <v>1989</v>
      </c>
      <c r="D1271" s="74" t="s">
        <v>490</v>
      </c>
      <c r="E1271" s="59">
        <v>14160</v>
      </c>
      <c r="F1271" s="60"/>
      <c r="G1271" s="61"/>
      <c r="H1271" s="62"/>
      <c r="I1271" s="62"/>
      <c r="J1271" s="62"/>
    </row>
    <row r="1272" spans="1:11" s="67" customFormat="1" ht="38.25" x14ac:dyDescent="0.25">
      <c r="A1272" s="28">
        <f t="shared" si="34"/>
        <v>1201</v>
      </c>
      <c r="B1272" s="73" t="s">
        <v>2054</v>
      </c>
      <c r="C1272" s="74" t="s">
        <v>1989</v>
      </c>
      <c r="D1272" s="74" t="s">
        <v>490</v>
      </c>
      <c r="E1272" s="59">
        <v>15480</v>
      </c>
      <c r="F1272" s="60"/>
      <c r="G1272" s="61"/>
      <c r="H1272" s="62"/>
      <c r="I1272" s="62"/>
      <c r="J1272" s="62"/>
      <c r="K1272" s="62"/>
    </row>
    <row r="1273" spans="1:11" s="62" customFormat="1" ht="38.25" x14ac:dyDescent="0.25">
      <c r="A1273" s="28">
        <f t="shared" si="34"/>
        <v>1202</v>
      </c>
      <c r="B1273" s="73" t="s">
        <v>2055</v>
      </c>
      <c r="C1273" s="74" t="s">
        <v>1989</v>
      </c>
      <c r="D1273" s="74" t="s">
        <v>490</v>
      </c>
      <c r="E1273" s="59">
        <v>18000</v>
      </c>
      <c r="F1273" s="60"/>
      <c r="G1273" s="61"/>
    </row>
    <row r="1274" spans="1:11" s="62" customFormat="1" ht="38.25" x14ac:dyDescent="0.25">
      <c r="A1274" s="28">
        <f>A1273+1</f>
        <v>1203</v>
      </c>
      <c r="B1274" s="29" t="s">
        <v>2056</v>
      </c>
      <c r="C1274" s="28" t="s">
        <v>1989</v>
      </c>
      <c r="D1274" s="28" t="s">
        <v>490</v>
      </c>
      <c r="E1274" s="59">
        <v>24960</v>
      </c>
      <c r="F1274" s="60"/>
      <c r="G1274" s="61"/>
    </row>
    <row r="1275" spans="1:11" s="62" customFormat="1" ht="16.5" customHeight="1" x14ac:dyDescent="0.25">
      <c r="A1275" s="28">
        <f t="shared" ref="A1275:A1291" si="35">A1274+1</f>
        <v>1204</v>
      </c>
      <c r="B1275" s="46" t="s">
        <v>3151</v>
      </c>
      <c r="C1275" s="76" t="s">
        <v>2013</v>
      </c>
      <c r="D1275" s="65" t="s">
        <v>490</v>
      </c>
      <c r="E1275" s="59">
        <v>43680</v>
      </c>
      <c r="F1275" s="60"/>
      <c r="G1275" s="61"/>
    </row>
    <row r="1276" spans="1:11" s="62" customFormat="1" ht="30.75" customHeight="1" x14ac:dyDescent="0.25">
      <c r="A1276" s="28">
        <f t="shared" si="35"/>
        <v>1205</v>
      </c>
      <c r="B1276" s="46" t="s">
        <v>3152</v>
      </c>
      <c r="C1276" s="76" t="s">
        <v>2057</v>
      </c>
      <c r="D1276" s="65" t="s">
        <v>490</v>
      </c>
      <c r="E1276" s="59">
        <v>43680</v>
      </c>
      <c r="F1276" s="60"/>
      <c r="G1276" s="61"/>
    </row>
    <row r="1277" spans="1:11" s="62" customFormat="1" ht="25.5" x14ac:dyDescent="0.25">
      <c r="A1277" s="28">
        <f t="shared" si="35"/>
        <v>1206</v>
      </c>
      <c r="B1277" s="46" t="s">
        <v>3153</v>
      </c>
      <c r="C1277" s="76" t="s">
        <v>2058</v>
      </c>
      <c r="D1277" s="65" t="s">
        <v>490</v>
      </c>
      <c r="E1277" s="59">
        <v>43680</v>
      </c>
      <c r="F1277" s="60"/>
      <c r="G1277" s="61"/>
    </row>
    <row r="1278" spans="1:11" s="62" customFormat="1" ht="14.25" customHeight="1" x14ac:dyDescent="0.25">
      <c r="A1278" s="28">
        <f t="shared" si="35"/>
        <v>1207</v>
      </c>
      <c r="B1278" s="46" t="s">
        <v>3154</v>
      </c>
      <c r="C1278" s="76" t="s">
        <v>2059</v>
      </c>
      <c r="D1278" s="65" t="s">
        <v>490</v>
      </c>
      <c r="E1278" s="59">
        <v>43680</v>
      </c>
      <c r="F1278" s="60"/>
      <c r="G1278" s="61"/>
    </row>
    <row r="1279" spans="1:11" s="62" customFormat="1" ht="14.25" customHeight="1" x14ac:dyDescent="0.25">
      <c r="A1279" s="28">
        <f t="shared" si="35"/>
        <v>1208</v>
      </c>
      <c r="B1279" s="46" t="s">
        <v>3155</v>
      </c>
      <c r="C1279" s="76" t="s">
        <v>2060</v>
      </c>
      <c r="D1279" s="65" t="s">
        <v>490</v>
      </c>
      <c r="E1279" s="59">
        <v>43680</v>
      </c>
      <c r="F1279" s="60"/>
      <c r="G1279" s="61"/>
    </row>
    <row r="1280" spans="1:11" s="62" customFormat="1" ht="25.5" x14ac:dyDescent="0.25">
      <c r="A1280" s="28">
        <f t="shared" si="35"/>
        <v>1209</v>
      </c>
      <c r="B1280" s="46" t="s">
        <v>3156</v>
      </c>
      <c r="C1280" s="76" t="s">
        <v>2061</v>
      </c>
      <c r="D1280" s="65" t="s">
        <v>490</v>
      </c>
      <c r="E1280" s="59">
        <v>43680</v>
      </c>
      <c r="F1280" s="60"/>
      <c r="G1280" s="61"/>
    </row>
    <row r="1281" spans="1:7" s="62" customFormat="1" ht="15.75" customHeight="1" x14ac:dyDescent="0.25">
      <c r="A1281" s="28">
        <f t="shared" si="35"/>
        <v>1210</v>
      </c>
      <c r="B1281" s="46" t="s">
        <v>3157</v>
      </c>
      <c r="C1281" s="76" t="s">
        <v>2062</v>
      </c>
      <c r="D1281" s="65" t="s">
        <v>490</v>
      </c>
      <c r="E1281" s="59">
        <v>43680</v>
      </c>
      <c r="F1281" s="60"/>
      <c r="G1281" s="61"/>
    </row>
    <row r="1282" spans="1:7" s="62" customFormat="1" ht="15.75" customHeight="1" x14ac:dyDescent="0.25">
      <c r="A1282" s="28">
        <f t="shared" si="35"/>
        <v>1211</v>
      </c>
      <c r="B1282" s="46" t="s">
        <v>3158</v>
      </c>
      <c r="C1282" s="76" t="s">
        <v>2063</v>
      </c>
      <c r="D1282" s="65" t="s">
        <v>490</v>
      </c>
      <c r="E1282" s="59">
        <v>43680</v>
      </c>
      <c r="F1282" s="60"/>
      <c r="G1282" s="61"/>
    </row>
    <row r="1283" spans="1:7" s="62" customFormat="1" ht="15.75" customHeight="1" x14ac:dyDescent="0.25">
      <c r="A1283" s="28">
        <f t="shared" si="35"/>
        <v>1212</v>
      </c>
      <c r="B1283" s="46" t="s">
        <v>3159</v>
      </c>
      <c r="C1283" s="76" t="s">
        <v>2064</v>
      </c>
      <c r="D1283" s="65" t="s">
        <v>490</v>
      </c>
      <c r="E1283" s="59">
        <v>43680</v>
      </c>
      <c r="F1283" s="60"/>
      <c r="G1283" s="61"/>
    </row>
    <row r="1284" spans="1:7" s="62" customFormat="1" ht="15.75" customHeight="1" x14ac:dyDescent="0.25">
      <c r="A1284" s="28">
        <f t="shared" si="35"/>
        <v>1213</v>
      </c>
      <c r="B1284" s="46" t="s">
        <v>3160</v>
      </c>
      <c r="C1284" s="76" t="s">
        <v>2065</v>
      </c>
      <c r="D1284" s="65" t="s">
        <v>490</v>
      </c>
      <c r="E1284" s="59">
        <v>43680</v>
      </c>
      <c r="F1284" s="60"/>
      <c r="G1284" s="61"/>
    </row>
    <row r="1285" spans="1:7" s="62" customFormat="1" ht="15.75" customHeight="1" x14ac:dyDescent="0.25">
      <c r="A1285" s="28">
        <f t="shared" si="35"/>
        <v>1214</v>
      </c>
      <c r="B1285" s="46" t="s">
        <v>3161</v>
      </c>
      <c r="C1285" s="76" t="s">
        <v>2066</v>
      </c>
      <c r="D1285" s="65" t="s">
        <v>490</v>
      </c>
      <c r="E1285" s="59">
        <v>43680</v>
      </c>
      <c r="F1285" s="60"/>
      <c r="G1285" s="61"/>
    </row>
    <row r="1286" spans="1:7" s="62" customFormat="1" ht="25.5" x14ac:dyDescent="0.25">
      <c r="A1286" s="28">
        <f t="shared" si="35"/>
        <v>1215</v>
      </c>
      <c r="B1286" s="46" t="s">
        <v>3162</v>
      </c>
      <c r="C1286" s="76" t="s">
        <v>2067</v>
      </c>
      <c r="D1286" s="65" t="s">
        <v>490</v>
      </c>
      <c r="E1286" s="59">
        <v>43680</v>
      </c>
      <c r="F1286" s="60"/>
      <c r="G1286" s="61"/>
    </row>
    <row r="1287" spans="1:7" s="62" customFormat="1" ht="15.75" customHeight="1" x14ac:dyDescent="0.25">
      <c r="A1287" s="28">
        <f t="shared" si="35"/>
        <v>1216</v>
      </c>
      <c r="B1287" s="46" t="s">
        <v>3163</v>
      </c>
      <c r="C1287" s="76" t="s">
        <v>2068</v>
      </c>
      <c r="D1287" s="65" t="s">
        <v>490</v>
      </c>
      <c r="E1287" s="59">
        <v>43680</v>
      </c>
      <c r="F1287" s="60"/>
      <c r="G1287" s="61"/>
    </row>
    <row r="1288" spans="1:7" s="62" customFormat="1" ht="25.5" x14ac:dyDescent="0.25">
      <c r="A1288" s="28">
        <f t="shared" si="35"/>
        <v>1217</v>
      </c>
      <c r="B1288" s="46" t="s">
        <v>3164</v>
      </c>
      <c r="C1288" s="76" t="s">
        <v>2069</v>
      </c>
      <c r="D1288" s="65" t="s">
        <v>490</v>
      </c>
      <c r="E1288" s="59">
        <v>43680</v>
      </c>
      <c r="F1288" s="60"/>
      <c r="G1288" s="61"/>
    </row>
    <row r="1289" spans="1:7" s="62" customFormat="1" ht="14.25" customHeight="1" x14ac:dyDescent="0.25">
      <c r="A1289" s="28">
        <f t="shared" si="35"/>
        <v>1218</v>
      </c>
      <c r="B1289" s="46" t="s">
        <v>3165</v>
      </c>
      <c r="C1289" s="76" t="s">
        <v>2070</v>
      </c>
      <c r="D1289" s="65" t="s">
        <v>490</v>
      </c>
      <c r="E1289" s="59">
        <v>43680</v>
      </c>
      <c r="F1289" s="60"/>
      <c r="G1289" s="61"/>
    </row>
    <row r="1290" spans="1:7" s="62" customFormat="1" ht="14.25" customHeight="1" x14ac:dyDescent="0.25">
      <c r="A1290" s="28">
        <f t="shared" si="35"/>
        <v>1219</v>
      </c>
      <c r="B1290" s="46" t="s">
        <v>3166</v>
      </c>
      <c r="C1290" s="76" t="s">
        <v>2071</v>
      </c>
      <c r="D1290" s="65" t="s">
        <v>490</v>
      </c>
      <c r="E1290" s="59">
        <v>43680</v>
      </c>
      <c r="F1290" s="60"/>
      <c r="G1290" s="61"/>
    </row>
    <row r="1291" spans="1:7" s="62" customFormat="1" ht="25.5" x14ac:dyDescent="0.25">
      <c r="A1291" s="28">
        <f t="shared" si="35"/>
        <v>1220</v>
      </c>
      <c r="B1291" s="46" t="s">
        <v>3167</v>
      </c>
      <c r="C1291" s="76" t="s">
        <v>2072</v>
      </c>
      <c r="D1291" s="65" t="s">
        <v>490</v>
      </c>
      <c r="E1291" s="59">
        <v>43680</v>
      </c>
      <c r="F1291" s="60"/>
      <c r="G1291" s="61"/>
    </row>
    <row r="1292" spans="1:7" s="62" customFormat="1" ht="18.75" customHeight="1" x14ac:dyDescent="0.25">
      <c r="A1292" s="136" t="s">
        <v>2073</v>
      </c>
      <c r="B1292" s="137"/>
      <c r="C1292" s="137"/>
      <c r="D1292" s="137"/>
      <c r="E1292" s="138"/>
      <c r="F1292" s="60"/>
      <c r="G1292" s="61"/>
    </row>
    <row r="1293" spans="1:7" s="62" customFormat="1" ht="12.75" x14ac:dyDescent="0.25">
      <c r="A1293" s="28">
        <f>A1291+1</f>
        <v>1221</v>
      </c>
      <c r="B1293" s="33" t="s">
        <v>650</v>
      </c>
      <c r="C1293" s="28" t="s">
        <v>651</v>
      </c>
      <c r="D1293" s="28" t="s">
        <v>352</v>
      </c>
      <c r="E1293" s="59">
        <v>128400</v>
      </c>
      <c r="F1293" s="60"/>
      <c r="G1293" s="61"/>
    </row>
    <row r="1294" spans="1:7" s="62" customFormat="1" ht="12.75" x14ac:dyDescent="0.25">
      <c r="A1294" s="28">
        <f>A1293+1</f>
        <v>1222</v>
      </c>
      <c r="B1294" s="33" t="s">
        <v>652</v>
      </c>
      <c r="C1294" s="28" t="s">
        <v>653</v>
      </c>
      <c r="D1294" s="28" t="s">
        <v>352</v>
      </c>
      <c r="E1294" s="59">
        <v>7800</v>
      </c>
      <c r="F1294" s="60"/>
      <c r="G1294" s="61"/>
    </row>
    <row r="1295" spans="1:7" s="62" customFormat="1" ht="12.75" x14ac:dyDescent="0.25">
      <c r="A1295" s="28">
        <f t="shared" ref="A1295:A1304" si="36">A1294+1</f>
        <v>1223</v>
      </c>
      <c r="B1295" s="33" t="s">
        <v>655</v>
      </c>
      <c r="C1295" s="28" t="s">
        <v>656</v>
      </c>
      <c r="D1295" s="28" t="s">
        <v>352</v>
      </c>
      <c r="E1295" s="59">
        <v>25680</v>
      </c>
      <c r="F1295" s="60"/>
      <c r="G1295" s="61"/>
    </row>
    <row r="1296" spans="1:7" s="62" customFormat="1" ht="25.5" x14ac:dyDescent="0.25">
      <c r="A1296" s="28">
        <f t="shared" si="36"/>
        <v>1224</v>
      </c>
      <c r="B1296" s="53" t="s">
        <v>3213</v>
      </c>
      <c r="C1296" s="53" t="s">
        <v>474</v>
      </c>
      <c r="D1296" s="28" t="s">
        <v>490</v>
      </c>
      <c r="E1296" s="59">
        <v>77040</v>
      </c>
      <c r="F1296" s="60"/>
      <c r="G1296" s="61"/>
    </row>
    <row r="1297" spans="1:7" s="62" customFormat="1" ht="25.5" x14ac:dyDescent="0.25">
      <c r="A1297" s="28">
        <f t="shared" si="36"/>
        <v>1225</v>
      </c>
      <c r="B1297" s="33" t="s">
        <v>2074</v>
      </c>
      <c r="C1297" s="28" t="s">
        <v>2075</v>
      </c>
      <c r="D1297" s="28" t="s">
        <v>2076</v>
      </c>
      <c r="E1297" s="59">
        <v>2110440</v>
      </c>
      <c r="F1297" s="60"/>
      <c r="G1297" s="61"/>
    </row>
    <row r="1298" spans="1:7" s="62" customFormat="1" ht="12.75" x14ac:dyDescent="0.25">
      <c r="A1298" s="28">
        <f t="shared" si="36"/>
        <v>1226</v>
      </c>
      <c r="B1298" s="33" t="s">
        <v>2077</v>
      </c>
      <c r="C1298" s="28" t="s">
        <v>2075</v>
      </c>
      <c r="D1298" s="28" t="s">
        <v>2076</v>
      </c>
      <c r="E1298" s="59">
        <v>375120</v>
      </c>
      <c r="F1298" s="60"/>
      <c r="G1298" s="61"/>
    </row>
    <row r="1299" spans="1:7" s="62" customFormat="1" ht="25.5" x14ac:dyDescent="0.25">
      <c r="A1299" s="28">
        <f t="shared" si="36"/>
        <v>1227</v>
      </c>
      <c r="B1299" s="33" t="s">
        <v>2078</v>
      </c>
      <c r="C1299" s="28" t="s">
        <v>2075</v>
      </c>
      <c r="D1299" s="28" t="s">
        <v>2076</v>
      </c>
      <c r="E1299" s="59">
        <v>1323600</v>
      </c>
      <c r="F1299" s="60"/>
      <c r="G1299" s="61"/>
    </row>
    <row r="1300" spans="1:7" s="62" customFormat="1" ht="25.5" x14ac:dyDescent="0.25">
      <c r="A1300" s="28">
        <f t="shared" si="36"/>
        <v>1228</v>
      </c>
      <c r="B1300" s="33" t="s">
        <v>2079</v>
      </c>
      <c r="C1300" s="28" t="s">
        <v>2080</v>
      </c>
      <c r="D1300" s="28" t="s">
        <v>2076</v>
      </c>
      <c r="E1300" s="59">
        <v>1471680</v>
      </c>
      <c r="F1300" s="60"/>
      <c r="G1300" s="61"/>
    </row>
    <row r="1301" spans="1:7" s="62" customFormat="1" ht="25.5" x14ac:dyDescent="0.25">
      <c r="A1301" s="28">
        <f t="shared" si="36"/>
        <v>1229</v>
      </c>
      <c r="B1301" s="33" t="s">
        <v>2081</v>
      </c>
      <c r="C1301" s="28" t="s">
        <v>2082</v>
      </c>
      <c r="D1301" s="28" t="s">
        <v>2076</v>
      </c>
      <c r="E1301" s="59">
        <v>1471680</v>
      </c>
      <c r="F1301" s="60"/>
      <c r="G1301" s="61"/>
    </row>
    <row r="1302" spans="1:7" s="62" customFormat="1" ht="25.5" x14ac:dyDescent="0.25">
      <c r="A1302" s="28">
        <f t="shared" si="36"/>
        <v>1230</v>
      </c>
      <c r="B1302" s="33" t="s">
        <v>2083</v>
      </c>
      <c r="C1302" s="28" t="s">
        <v>2080</v>
      </c>
      <c r="D1302" s="28" t="s">
        <v>2076</v>
      </c>
      <c r="E1302" s="59">
        <v>1471680</v>
      </c>
      <c r="F1302" s="60"/>
      <c r="G1302" s="61"/>
    </row>
    <row r="1303" spans="1:7" s="62" customFormat="1" ht="25.5" x14ac:dyDescent="0.25">
      <c r="A1303" s="28">
        <f t="shared" si="36"/>
        <v>1231</v>
      </c>
      <c r="B1303" s="33" t="s">
        <v>2084</v>
      </c>
      <c r="C1303" s="28" t="s">
        <v>2080</v>
      </c>
      <c r="D1303" s="28" t="s">
        <v>2076</v>
      </c>
      <c r="E1303" s="59">
        <v>1471680</v>
      </c>
      <c r="F1303" s="60"/>
      <c r="G1303" s="61"/>
    </row>
    <row r="1304" spans="1:7" s="62" customFormat="1" ht="25.5" x14ac:dyDescent="0.25">
      <c r="A1304" s="28">
        <f t="shared" si="36"/>
        <v>1232</v>
      </c>
      <c r="B1304" s="33" t="s">
        <v>2085</v>
      </c>
      <c r="C1304" s="28" t="s">
        <v>2080</v>
      </c>
      <c r="D1304" s="28" t="s">
        <v>2076</v>
      </c>
      <c r="E1304" s="59">
        <v>1471680</v>
      </c>
      <c r="F1304" s="60"/>
      <c r="G1304" s="61"/>
    </row>
    <row r="1305" spans="1:7" s="62" customFormat="1" ht="18.75" customHeight="1" x14ac:dyDescent="0.25">
      <c r="A1305" s="136" t="s">
        <v>2086</v>
      </c>
      <c r="B1305" s="137"/>
      <c r="C1305" s="137"/>
      <c r="D1305" s="137"/>
      <c r="E1305" s="138"/>
      <c r="F1305" s="60"/>
      <c r="G1305" s="61"/>
    </row>
    <row r="1306" spans="1:7" s="62" customFormat="1" ht="12.75" x14ac:dyDescent="0.25">
      <c r="A1306" s="28">
        <f>A1304+1</f>
        <v>1233</v>
      </c>
      <c r="B1306" s="53" t="s">
        <v>2087</v>
      </c>
      <c r="C1306" s="88" t="s">
        <v>2088</v>
      </c>
      <c r="D1306" s="28" t="s">
        <v>438</v>
      </c>
      <c r="E1306" s="59">
        <v>70680</v>
      </c>
      <c r="F1306" s="60"/>
      <c r="G1306" s="61"/>
    </row>
    <row r="1307" spans="1:7" s="62" customFormat="1" ht="12.75" x14ac:dyDescent="0.25">
      <c r="A1307" s="28">
        <f t="shared" ref="A1307:A1370" si="37">A1306+1</f>
        <v>1234</v>
      </c>
      <c r="B1307" s="53" t="s">
        <v>2089</v>
      </c>
      <c r="C1307" s="88" t="s">
        <v>2090</v>
      </c>
      <c r="D1307" s="28" t="s">
        <v>438</v>
      </c>
      <c r="E1307" s="59">
        <v>642000</v>
      </c>
      <c r="F1307" s="60"/>
      <c r="G1307" s="61"/>
    </row>
    <row r="1308" spans="1:7" s="62" customFormat="1" ht="12.75" x14ac:dyDescent="0.25">
      <c r="A1308" s="28">
        <f t="shared" si="37"/>
        <v>1235</v>
      </c>
      <c r="B1308" s="53" t="s">
        <v>2091</v>
      </c>
      <c r="C1308" s="88" t="s">
        <v>2092</v>
      </c>
      <c r="D1308" s="28" t="s">
        <v>438</v>
      </c>
      <c r="E1308" s="59">
        <v>539280</v>
      </c>
      <c r="F1308" s="60"/>
      <c r="G1308" s="61"/>
    </row>
    <row r="1309" spans="1:7" s="62" customFormat="1" ht="12.75" x14ac:dyDescent="0.25">
      <c r="A1309" s="28">
        <f t="shared" si="37"/>
        <v>1236</v>
      </c>
      <c r="B1309" s="53" t="s">
        <v>2093</v>
      </c>
      <c r="C1309" s="88" t="s">
        <v>2094</v>
      </c>
      <c r="D1309" s="28" t="s">
        <v>438</v>
      </c>
      <c r="E1309" s="59">
        <v>449400</v>
      </c>
      <c r="F1309" s="60"/>
      <c r="G1309" s="61"/>
    </row>
    <row r="1310" spans="1:7" s="62" customFormat="1" ht="12.75" x14ac:dyDescent="0.25">
      <c r="A1310" s="28">
        <f t="shared" si="37"/>
        <v>1237</v>
      </c>
      <c r="B1310" s="53" t="s">
        <v>2095</v>
      </c>
      <c r="C1310" s="88" t="s">
        <v>2096</v>
      </c>
      <c r="D1310" s="28" t="s">
        <v>438</v>
      </c>
      <c r="E1310" s="59">
        <v>282480</v>
      </c>
      <c r="F1310" s="60"/>
      <c r="G1310" s="61"/>
    </row>
    <row r="1311" spans="1:7" s="62" customFormat="1" ht="12.75" x14ac:dyDescent="0.25">
      <c r="A1311" s="28">
        <f t="shared" si="37"/>
        <v>1238</v>
      </c>
      <c r="B1311" s="53" t="s">
        <v>2097</v>
      </c>
      <c r="C1311" s="88" t="s">
        <v>2098</v>
      </c>
      <c r="D1311" s="28" t="s">
        <v>438</v>
      </c>
      <c r="E1311" s="59">
        <v>321000</v>
      </c>
      <c r="F1311" s="60"/>
      <c r="G1311" s="61"/>
    </row>
    <row r="1312" spans="1:7" s="62" customFormat="1" ht="12.75" x14ac:dyDescent="0.25">
      <c r="A1312" s="28">
        <f t="shared" si="37"/>
        <v>1239</v>
      </c>
      <c r="B1312" s="53" t="s">
        <v>2099</v>
      </c>
      <c r="C1312" s="88" t="s">
        <v>2100</v>
      </c>
      <c r="D1312" s="28" t="s">
        <v>438</v>
      </c>
      <c r="E1312" s="59">
        <v>449400</v>
      </c>
      <c r="F1312" s="60"/>
      <c r="G1312" s="61"/>
    </row>
    <row r="1313" spans="1:11" s="62" customFormat="1" ht="12.75" x14ac:dyDescent="0.25">
      <c r="A1313" s="28">
        <f t="shared" si="37"/>
        <v>1240</v>
      </c>
      <c r="B1313" s="53" t="s">
        <v>2101</v>
      </c>
      <c r="C1313" s="88" t="s">
        <v>2102</v>
      </c>
      <c r="D1313" s="28" t="s">
        <v>438</v>
      </c>
      <c r="E1313" s="59">
        <v>89880</v>
      </c>
      <c r="F1313" s="60"/>
      <c r="G1313" s="61"/>
    </row>
    <row r="1314" spans="1:11" s="62" customFormat="1" ht="12.75" x14ac:dyDescent="0.25">
      <c r="A1314" s="28">
        <f t="shared" si="37"/>
        <v>1241</v>
      </c>
      <c r="B1314" s="53" t="s">
        <v>2103</v>
      </c>
      <c r="C1314" s="88" t="s">
        <v>2104</v>
      </c>
      <c r="D1314" s="28" t="s">
        <v>438</v>
      </c>
      <c r="E1314" s="59">
        <v>321000</v>
      </c>
      <c r="F1314" s="60"/>
      <c r="G1314" s="61"/>
      <c r="H1314" s="77"/>
      <c r="I1314" s="77"/>
      <c r="J1314" s="77"/>
    </row>
    <row r="1315" spans="1:11" s="62" customFormat="1" ht="12.75" x14ac:dyDescent="0.25">
      <c r="A1315" s="28">
        <f t="shared" si="37"/>
        <v>1242</v>
      </c>
      <c r="B1315" s="53" t="s">
        <v>2105</v>
      </c>
      <c r="C1315" s="110" t="s">
        <v>2106</v>
      </c>
      <c r="D1315" s="28" t="s">
        <v>438</v>
      </c>
      <c r="E1315" s="59">
        <v>132360</v>
      </c>
      <c r="F1315" s="60"/>
      <c r="G1315" s="61"/>
      <c r="H1315" s="77"/>
      <c r="I1315" s="77"/>
      <c r="J1315" s="77"/>
    </row>
    <row r="1316" spans="1:11" s="62" customFormat="1" ht="25.5" x14ac:dyDescent="0.25">
      <c r="A1316" s="28">
        <f t="shared" si="37"/>
        <v>1243</v>
      </c>
      <c r="B1316" s="53" t="s">
        <v>2107</v>
      </c>
      <c r="C1316" s="110" t="s">
        <v>2108</v>
      </c>
      <c r="D1316" s="28" t="s">
        <v>438</v>
      </c>
      <c r="E1316" s="59">
        <v>449400</v>
      </c>
      <c r="F1316" s="60"/>
      <c r="G1316" s="61"/>
    </row>
    <row r="1317" spans="1:11" s="62" customFormat="1" ht="38.25" x14ac:dyDescent="0.25">
      <c r="A1317" s="28">
        <f t="shared" si="37"/>
        <v>1244</v>
      </c>
      <c r="B1317" s="53" t="s">
        <v>2109</v>
      </c>
      <c r="C1317" s="110" t="s">
        <v>2110</v>
      </c>
      <c r="D1317" s="28" t="s">
        <v>438</v>
      </c>
      <c r="E1317" s="59">
        <v>385200</v>
      </c>
      <c r="F1317" s="60"/>
      <c r="G1317" s="61"/>
    </row>
    <row r="1318" spans="1:11" s="62" customFormat="1" ht="38.25" x14ac:dyDescent="0.25">
      <c r="A1318" s="28">
        <f t="shared" si="37"/>
        <v>1245</v>
      </c>
      <c r="B1318" s="53" t="s">
        <v>2111</v>
      </c>
      <c r="C1318" s="110" t="s">
        <v>2112</v>
      </c>
      <c r="D1318" s="28" t="s">
        <v>438</v>
      </c>
      <c r="E1318" s="59">
        <v>256800</v>
      </c>
      <c r="F1318" s="60"/>
      <c r="G1318" s="61"/>
    </row>
    <row r="1319" spans="1:11" s="62" customFormat="1" ht="12.75" x14ac:dyDescent="0.25">
      <c r="A1319" s="28">
        <f t="shared" si="37"/>
        <v>1246</v>
      </c>
      <c r="B1319" s="53" t="s">
        <v>2113</v>
      </c>
      <c r="C1319" s="110" t="s">
        <v>2114</v>
      </c>
      <c r="D1319" s="28" t="s">
        <v>438</v>
      </c>
      <c r="E1319" s="59">
        <v>417360</v>
      </c>
      <c r="F1319" s="60"/>
      <c r="G1319" s="61"/>
      <c r="H1319" s="63"/>
      <c r="I1319" s="63"/>
      <c r="J1319" s="63"/>
    </row>
    <row r="1320" spans="1:11" s="62" customFormat="1" ht="12.75" x14ac:dyDescent="0.25">
      <c r="A1320" s="28">
        <f t="shared" si="37"/>
        <v>1247</v>
      </c>
      <c r="B1320" s="53" t="s">
        <v>2115</v>
      </c>
      <c r="C1320" s="110" t="s">
        <v>2116</v>
      </c>
      <c r="D1320" s="28" t="s">
        <v>438</v>
      </c>
      <c r="E1320" s="59">
        <v>38640</v>
      </c>
      <c r="F1320" s="60"/>
      <c r="G1320" s="61"/>
      <c r="H1320" s="63"/>
      <c r="I1320" s="63"/>
      <c r="J1320" s="63"/>
    </row>
    <row r="1321" spans="1:11" s="62" customFormat="1" ht="25.5" x14ac:dyDescent="0.25">
      <c r="A1321" s="28">
        <f t="shared" si="37"/>
        <v>1248</v>
      </c>
      <c r="B1321" s="78" t="s">
        <v>2117</v>
      </c>
      <c r="C1321" s="111" t="s">
        <v>2118</v>
      </c>
      <c r="D1321" s="70" t="s">
        <v>438</v>
      </c>
      <c r="E1321" s="59">
        <v>642000</v>
      </c>
      <c r="F1321" s="60"/>
      <c r="G1321" s="61"/>
      <c r="H1321" s="63"/>
      <c r="I1321" s="63"/>
      <c r="J1321" s="63"/>
    </row>
    <row r="1322" spans="1:11" s="62" customFormat="1" ht="12.75" x14ac:dyDescent="0.25">
      <c r="A1322" s="28">
        <f t="shared" si="37"/>
        <v>1249</v>
      </c>
      <c r="B1322" s="53" t="s">
        <v>2119</v>
      </c>
      <c r="C1322" s="110" t="s">
        <v>2120</v>
      </c>
      <c r="D1322" s="28" t="s">
        <v>438</v>
      </c>
      <c r="E1322" s="59">
        <v>141240</v>
      </c>
      <c r="F1322" s="60"/>
      <c r="G1322" s="61"/>
    </row>
    <row r="1323" spans="1:11" s="62" customFormat="1" ht="12.75" x14ac:dyDescent="0.25">
      <c r="A1323" s="28">
        <f t="shared" si="37"/>
        <v>1250</v>
      </c>
      <c r="B1323" s="53" t="s">
        <v>2121</v>
      </c>
      <c r="C1323" s="110" t="s">
        <v>2122</v>
      </c>
      <c r="D1323" s="28" t="s">
        <v>438</v>
      </c>
      <c r="E1323" s="59">
        <v>417360</v>
      </c>
      <c r="F1323" s="60"/>
      <c r="G1323" s="61"/>
      <c r="K1323" s="77"/>
    </row>
    <row r="1324" spans="1:11" s="77" customFormat="1" ht="12.75" x14ac:dyDescent="0.25">
      <c r="A1324" s="28">
        <f t="shared" si="37"/>
        <v>1251</v>
      </c>
      <c r="B1324" s="53" t="s">
        <v>2123</v>
      </c>
      <c r="C1324" s="110" t="s">
        <v>2124</v>
      </c>
      <c r="D1324" s="28" t="s">
        <v>438</v>
      </c>
      <c r="E1324" s="59">
        <v>449400</v>
      </c>
      <c r="F1324" s="60"/>
      <c r="G1324" s="61"/>
      <c r="H1324" s="62"/>
      <c r="I1324" s="62"/>
      <c r="J1324" s="62"/>
    </row>
    <row r="1325" spans="1:11" s="77" customFormat="1" ht="12.75" x14ac:dyDescent="0.25">
      <c r="A1325" s="28">
        <f t="shared" si="37"/>
        <v>1252</v>
      </c>
      <c r="B1325" s="53" t="s">
        <v>2125</v>
      </c>
      <c r="C1325" s="110" t="s">
        <v>2126</v>
      </c>
      <c r="D1325" s="28" t="s">
        <v>438</v>
      </c>
      <c r="E1325" s="59">
        <v>385200</v>
      </c>
      <c r="F1325" s="60"/>
      <c r="G1325" s="61"/>
      <c r="H1325" s="62"/>
      <c r="I1325" s="62"/>
      <c r="J1325" s="62"/>
      <c r="K1325" s="62"/>
    </row>
    <row r="1326" spans="1:11" s="62" customFormat="1" ht="25.5" x14ac:dyDescent="0.25">
      <c r="A1326" s="28">
        <f t="shared" si="37"/>
        <v>1253</v>
      </c>
      <c r="B1326" s="53" t="s">
        <v>2127</v>
      </c>
      <c r="C1326" s="88" t="s">
        <v>2128</v>
      </c>
      <c r="D1326" s="28" t="s">
        <v>438</v>
      </c>
      <c r="E1326" s="59">
        <v>295320</v>
      </c>
      <c r="F1326" s="60"/>
      <c r="G1326" s="61"/>
    </row>
    <row r="1327" spans="1:11" s="62" customFormat="1" ht="12.75" x14ac:dyDescent="0.25">
      <c r="A1327" s="28">
        <f t="shared" si="37"/>
        <v>1254</v>
      </c>
      <c r="B1327" s="53" t="s">
        <v>2129</v>
      </c>
      <c r="C1327" s="88" t="s">
        <v>2130</v>
      </c>
      <c r="D1327" s="28" t="s">
        <v>438</v>
      </c>
      <c r="E1327" s="59">
        <v>321000</v>
      </c>
      <c r="F1327" s="60"/>
      <c r="G1327" s="61"/>
    </row>
    <row r="1328" spans="1:11" s="62" customFormat="1" ht="12.75" x14ac:dyDescent="0.25">
      <c r="A1328" s="28">
        <f t="shared" si="37"/>
        <v>1255</v>
      </c>
      <c r="B1328" s="53" t="s">
        <v>2131</v>
      </c>
      <c r="C1328" s="88" t="s">
        <v>2132</v>
      </c>
      <c r="D1328" s="28" t="s">
        <v>438</v>
      </c>
      <c r="E1328" s="59">
        <v>449400</v>
      </c>
      <c r="F1328" s="60"/>
      <c r="G1328" s="61"/>
      <c r="H1328" s="77"/>
      <c r="I1328" s="77"/>
      <c r="J1328" s="77"/>
      <c r="K1328" s="63"/>
    </row>
    <row r="1329" spans="1:11" s="63" customFormat="1" ht="12.75" x14ac:dyDescent="0.25">
      <c r="A1329" s="28">
        <f t="shared" si="37"/>
        <v>1256</v>
      </c>
      <c r="B1329" s="53" t="s">
        <v>2133</v>
      </c>
      <c r="C1329" s="88" t="s">
        <v>2134</v>
      </c>
      <c r="D1329" s="28" t="s">
        <v>438</v>
      </c>
      <c r="E1329" s="59">
        <v>462240</v>
      </c>
      <c r="F1329" s="60"/>
      <c r="G1329" s="61"/>
      <c r="H1329" s="62"/>
      <c r="I1329" s="62"/>
      <c r="J1329" s="62"/>
    </row>
    <row r="1330" spans="1:11" s="63" customFormat="1" ht="12.75" x14ac:dyDescent="0.25">
      <c r="A1330" s="28">
        <f t="shared" si="37"/>
        <v>1257</v>
      </c>
      <c r="B1330" s="53" t="s">
        <v>2135</v>
      </c>
      <c r="C1330" s="88" t="s">
        <v>2136</v>
      </c>
      <c r="D1330" s="28" t="s">
        <v>438</v>
      </c>
      <c r="E1330" s="59">
        <v>64320</v>
      </c>
      <c r="F1330" s="60"/>
      <c r="G1330" s="61"/>
      <c r="H1330" s="62"/>
      <c r="I1330" s="62"/>
      <c r="J1330" s="62"/>
    </row>
    <row r="1331" spans="1:11" s="63" customFormat="1" ht="12.75" x14ac:dyDescent="0.25">
      <c r="A1331" s="28">
        <f t="shared" si="37"/>
        <v>1258</v>
      </c>
      <c r="B1331" s="53" t="s">
        <v>2137</v>
      </c>
      <c r="C1331" s="88" t="s">
        <v>2138</v>
      </c>
      <c r="D1331" s="28" t="s">
        <v>438</v>
      </c>
      <c r="E1331" s="59">
        <v>64200</v>
      </c>
      <c r="F1331" s="60"/>
      <c r="G1331" s="61"/>
      <c r="H1331" s="62"/>
      <c r="I1331" s="62"/>
      <c r="J1331" s="62"/>
      <c r="K1331" s="62"/>
    </row>
    <row r="1332" spans="1:11" s="62" customFormat="1" ht="12.75" x14ac:dyDescent="0.25">
      <c r="A1332" s="28">
        <f t="shared" si="37"/>
        <v>1259</v>
      </c>
      <c r="B1332" s="53" t="s">
        <v>2139</v>
      </c>
      <c r="C1332" s="88" t="s">
        <v>2140</v>
      </c>
      <c r="D1332" s="28" t="s">
        <v>438</v>
      </c>
      <c r="E1332" s="59">
        <v>205440</v>
      </c>
      <c r="F1332" s="60"/>
      <c r="G1332" s="61"/>
    </row>
    <row r="1333" spans="1:11" s="62" customFormat="1" ht="12.75" x14ac:dyDescent="0.25">
      <c r="A1333" s="28">
        <f t="shared" si="37"/>
        <v>1260</v>
      </c>
      <c r="B1333" s="53" t="s">
        <v>2141</v>
      </c>
      <c r="C1333" s="88" t="s">
        <v>2142</v>
      </c>
      <c r="D1333" s="28" t="s">
        <v>438</v>
      </c>
      <c r="E1333" s="59">
        <v>417360</v>
      </c>
      <c r="F1333" s="60"/>
      <c r="G1333" s="61"/>
    </row>
    <row r="1334" spans="1:11" s="62" customFormat="1" ht="12.75" x14ac:dyDescent="0.25">
      <c r="A1334" s="28">
        <f t="shared" si="37"/>
        <v>1261</v>
      </c>
      <c r="B1334" s="53" t="s">
        <v>2143</v>
      </c>
      <c r="C1334" s="88" t="s">
        <v>2144</v>
      </c>
      <c r="D1334" s="28" t="s">
        <v>438</v>
      </c>
      <c r="E1334" s="59">
        <v>256800</v>
      </c>
      <c r="F1334" s="60"/>
      <c r="G1334" s="61"/>
    </row>
    <row r="1335" spans="1:11" s="62" customFormat="1" ht="25.5" x14ac:dyDescent="0.25">
      <c r="A1335" s="28">
        <f t="shared" si="37"/>
        <v>1262</v>
      </c>
      <c r="B1335" s="53" t="s">
        <v>2145</v>
      </c>
      <c r="C1335" s="88" t="s">
        <v>2146</v>
      </c>
      <c r="D1335" s="28" t="s">
        <v>438</v>
      </c>
      <c r="E1335" s="59">
        <v>321000</v>
      </c>
      <c r="F1335" s="60"/>
      <c r="G1335" s="61"/>
    </row>
    <row r="1336" spans="1:11" s="62" customFormat="1" ht="12.75" x14ac:dyDescent="0.25">
      <c r="A1336" s="28">
        <f t="shared" si="37"/>
        <v>1263</v>
      </c>
      <c r="B1336" s="53" t="s">
        <v>2147</v>
      </c>
      <c r="C1336" s="88" t="s">
        <v>2148</v>
      </c>
      <c r="D1336" s="28" t="s">
        <v>438</v>
      </c>
      <c r="E1336" s="59">
        <v>64200</v>
      </c>
      <c r="F1336" s="60"/>
      <c r="G1336" s="61"/>
    </row>
    <row r="1337" spans="1:11" s="62" customFormat="1" ht="12.75" x14ac:dyDescent="0.25">
      <c r="A1337" s="28">
        <f t="shared" si="37"/>
        <v>1264</v>
      </c>
      <c r="B1337" s="53" t="s">
        <v>2149</v>
      </c>
      <c r="C1337" s="88" t="s">
        <v>2150</v>
      </c>
      <c r="D1337" s="28" t="s">
        <v>438</v>
      </c>
      <c r="E1337" s="59">
        <v>359520</v>
      </c>
      <c r="F1337" s="60"/>
      <c r="G1337" s="61"/>
      <c r="K1337" s="77"/>
    </row>
    <row r="1338" spans="1:11" s="77" customFormat="1" ht="12.75" x14ac:dyDescent="0.25">
      <c r="A1338" s="28">
        <f t="shared" si="37"/>
        <v>1265</v>
      </c>
      <c r="B1338" s="53" t="s">
        <v>2151</v>
      </c>
      <c r="C1338" s="88" t="s">
        <v>2152</v>
      </c>
      <c r="D1338" s="28" t="s">
        <v>438</v>
      </c>
      <c r="E1338" s="59">
        <v>282480</v>
      </c>
      <c r="F1338" s="60"/>
      <c r="G1338" s="61"/>
      <c r="H1338" s="62"/>
      <c r="I1338" s="62"/>
      <c r="J1338" s="62"/>
      <c r="K1338" s="62"/>
    </row>
    <row r="1339" spans="1:11" s="62" customFormat="1" ht="12.75" x14ac:dyDescent="0.25">
      <c r="A1339" s="28">
        <f t="shared" si="37"/>
        <v>1266</v>
      </c>
      <c r="B1339" s="53" t="s">
        <v>2153</v>
      </c>
      <c r="C1339" s="88" t="s">
        <v>2154</v>
      </c>
      <c r="D1339" s="28" t="s">
        <v>438</v>
      </c>
      <c r="E1339" s="59">
        <v>417360</v>
      </c>
      <c r="F1339" s="60"/>
      <c r="G1339" s="61"/>
    </row>
    <row r="1340" spans="1:11" s="62" customFormat="1" ht="25.5" x14ac:dyDescent="0.25">
      <c r="A1340" s="28">
        <f t="shared" si="37"/>
        <v>1267</v>
      </c>
      <c r="B1340" s="53" t="s">
        <v>2155</v>
      </c>
      <c r="C1340" s="88" t="s">
        <v>2156</v>
      </c>
      <c r="D1340" s="28" t="s">
        <v>438</v>
      </c>
      <c r="E1340" s="59">
        <v>205440</v>
      </c>
      <c r="F1340" s="60"/>
      <c r="G1340" s="61"/>
    </row>
    <row r="1341" spans="1:11" s="62" customFormat="1" ht="12.75" x14ac:dyDescent="0.25">
      <c r="A1341" s="28">
        <f t="shared" si="37"/>
        <v>1268</v>
      </c>
      <c r="B1341" s="53" t="s">
        <v>2157</v>
      </c>
      <c r="C1341" s="88" t="s">
        <v>2158</v>
      </c>
      <c r="D1341" s="28" t="s">
        <v>438</v>
      </c>
      <c r="E1341" s="59">
        <v>205440</v>
      </c>
      <c r="F1341" s="60"/>
      <c r="G1341" s="61"/>
    </row>
    <row r="1342" spans="1:11" s="62" customFormat="1" ht="12.75" x14ac:dyDescent="0.25">
      <c r="A1342" s="28">
        <f t="shared" si="37"/>
        <v>1269</v>
      </c>
      <c r="B1342" s="53" t="s">
        <v>2159</v>
      </c>
      <c r="C1342" s="88" t="s">
        <v>2160</v>
      </c>
      <c r="D1342" s="28" t="s">
        <v>438</v>
      </c>
      <c r="E1342" s="59">
        <v>128400</v>
      </c>
      <c r="F1342" s="60"/>
      <c r="G1342" s="61"/>
    </row>
    <row r="1343" spans="1:11" s="62" customFormat="1" ht="12.75" x14ac:dyDescent="0.25">
      <c r="A1343" s="28">
        <f t="shared" si="37"/>
        <v>1270</v>
      </c>
      <c r="B1343" s="53" t="s">
        <v>2161</v>
      </c>
      <c r="C1343" s="88" t="s">
        <v>2162</v>
      </c>
      <c r="D1343" s="28" t="s">
        <v>438</v>
      </c>
      <c r="E1343" s="59">
        <v>64200</v>
      </c>
      <c r="F1343" s="60"/>
      <c r="G1343" s="61"/>
    </row>
    <row r="1344" spans="1:11" s="62" customFormat="1" ht="25.5" x14ac:dyDescent="0.25">
      <c r="A1344" s="28">
        <f t="shared" si="37"/>
        <v>1271</v>
      </c>
      <c r="B1344" s="53" t="s">
        <v>2163</v>
      </c>
      <c r="C1344" s="88" t="s">
        <v>2164</v>
      </c>
      <c r="D1344" s="28" t="s">
        <v>438</v>
      </c>
      <c r="E1344" s="59">
        <v>256920</v>
      </c>
      <c r="F1344" s="60"/>
      <c r="G1344" s="61"/>
    </row>
    <row r="1345" spans="1:7" s="62" customFormat="1" ht="25.5" x14ac:dyDescent="0.25">
      <c r="A1345" s="28">
        <f t="shared" si="37"/>
        <v>1272</v>
      </c>
      <c r="B1345" s="53" t="s">
        <v>2165</v>
      </c>
      <c r="C1345" s="88" t="s">
        <v>2166</v>
      </c>
      <c r="D1345" s="28" t="s">
        <v>438</v>
      </c>
      <c r="E1345" s="59">
        <v>205440</v>
      </c>
      <c r="F1345" s="60"/>
      <c r="G1345" s="61"/>
    </row>
    <row r="1346" spans="1:7" s="62" customFormat="1" ht="12.75" x14ac:dyDescent="0.25">
      <c r="A1346" s="28">
        <f t="shared" si="37"/>
        <v>1273</v>
      </c>
      <c r="B1346" s="53" t="s">
        <v>2167</v>
      </c>
      <c r="C1346" s="88" t="s">
        <v>2168</v>
      </c>
      <c r="D1346" s="28" t="s">
        <v>438</v>
      </c>
      <c r="E1346" s="59">
        <v>417360</v>
      </c>
      <c r="F1346" s="60"/>
      <c r="G1346" s="61"/>
    </row>
    <row r="1347" spans="1:7" s="62" customFormat="1" ht="12.75" x14ac:dyDescent="0.25">
      <c r="A1347" s="28">
        <f t="shared" si="37"/>
        <v>1274</v>
      </c>
      <c r="B1347" s="53" t="s">
        <v>2169</v>
      </c>
      <c r="C1347" s="88" t="s">
        <v>2170</v>
      </c>
      <c r="D1347" s="28" t="s">
        <v>438</v>
      </c>
      <c r="E1347" s="59">
        <v>205440</v>
      </c>
      <c r="F1347" s="60"/>
      <c r="G1347" s="61"/>
    </row>
    <row r="1348" spans="1:7" s="62" customFormat="1" ht="25.5" x14ac:dyDescent="0.25">
      <c r="A1348" s="28">
        <f t="shared" si="37"/>
        <v>1275</v>
      </c>
      <c r="B1348" s="53" t="s">
        <v>2171</v>
      </c>
      <c r="C1348" s="88" t="s">
        <v>2172</v>
      </c>
      <c r="D1348" s="28" t="s">
        <v>438</v>
      </c>
      <c r="E1348" s="59">
        <v>192720</v>
      </c>
      <c r="F1348" s="60"/>
      <c r="G1348" s="61"/>
    </row>
    <row r="1349" spans="1:7" s="62" customFormat="1" ht="25.5" x14ac:dyDescent="0.25">
      <c r="A1349" s="28">
        <f t="shared" si="37"/>
        <v>1276</v>
      </c>
      <c r="B1349" s="53" t="s">
        <v>2173</v>
      </c>
      <c r="C1349" s="88" t="s">
        <v>2174</v>
      </c>
      <c r="D1349" s="28" t="s">
        <v>438</v>
      </c>
      <c r="E1349" s="59">
        <v>205440</v>
      </c>
      <c r="F1349" s="60"/>
      <c r="G1349" s="61"/>
    </row>
    <row r="1350" spans="1:7" s="62" customFormat="1" ht="12.75" x14ac:dyDescent="0.25">
      <c r="A1350" s="28">
        <f t="shared" si="37"/>
        <v>1277</v>
      </c>
      <c r="B1350" s="53" t="s">
        <v>2175</v>
      </c>
      <c r="C1350" s="88" t="s">
        <v>2176</v>
      </c>
      <c r="D1350" s="28" t="s">
        <v>438</v>
      </c>
      <c r="E1350" s="59">
        <v>513600</v>
      </c>
      <c r="F1350" s="60"/>
      <c r="G1350" s="61"/>
    </row>
    <row r="1351" spans="1:7" s="62" customFormat="1" ht="25.5" x14ac:dyDescent="0.25">
      <c r="A1351" s="28">
        <f t="shared" si="37"/>
        <v>1278</v>
      </c>
      <c r="B1351" s="78" t="s">
        <v>2177</v>
      </c>
      <c r="C1351" s="111" t="s">
        <v>2178</v>
      </c>
      <c r="D1351" s="70" t="s">
        <v>438</v>
      </c>
      <c r="E1351" s="59">
        <v>288960</v>
      </c>
      <c r="F1351" s="60"/>
      <c r="G1351" s="61"/>
    </row>
    <row r="1352" spans="1:7" s="62" customFormat="1" ht="12.75" x14ac:dyDescent="0.25">
      <c r="A1352" s="28">
        <f t="shared" si="37"/>
        <v>1279</v>
      </c>
      <c r="B1352" s="53" t="s">
        <v>2179</v>
      </c>
      <c r="C1352" s="88" t="s">
        <v>2180</v>
      </c>
      <c r="D1352" s="28" t="s">
        <v>438</v>
      </c>
      <c r="E1352" s="59">
        <v>417360</v>
      </c>
      <c r="F1352" s="60"/>
      <c r="G1352" s="61"/>
    </row>
    <row r="1353" spans="1:7" s="62" customFormat="1" ht="12.75" x14ac:dyDescent="0.25">
      <c r="A1353" s="28">
        <f t="shared" si="37"/>
        <v>1280</v>
      </c>
      <c r="B1353" s="53" t="s">
        <v>2181</v>
      </c>
      <c r="C1353" s="88" t="s">
        <v>2182</v>
      </c>
      <c r="D1353" s="28" t="s">
        <v>438</v>
      </c>
      <c r="E1353" s="59">
        <v>417360</v>
      </c>
      <c r="F1353" s="60"/>
      <c r="G1353" s="61"/>
    </row>
    <row r="1354" spans="1:7" s="62" customFormat="1" ht="12.75" x14ac:dyDescent="0.25">
      <c r="A1354" s="28">
        <f t="shared" si="37"/>
        <v>1281</v>
      </c>
      <c r="B1354" s="53" t="s">
        <v>2183</v>
      </c>
      <c r="C1354" s="88" t="s">
        <v>2184</v>
      </c>
      <c r="D1354" s="28" t="s">
        <v>438</v>
      </c>
      <c r="E1354" s="59">
        <v>205440</v>
      </c>
      <c r="F1354" s="60"/>
      <c r="G1354" s="61"/>
    </row>
    <row r="1355" spans="1:7" s="62" customFormat="1" ht="12.75" x14ac:dyDescent="0.25">
      <c r="A1355" s="28">
        <f t="shared" si="37"/>
        <v>1282</v>
      </c>
      <c r="B1355" s="53" t="s">
        <v>2185</v>
      </c>
      <c r="C1355" s="88" t="s">
        <v>2186</v>
      </c>
      <c r="D1355" s="28" t="s">
        <v>438</v>
      </c>
      <c r="E1355" s="59">
        <v>205440</v>
      </c>
      <c r="F1355" s="60"/>
      <c r="G1355" s="61"/>
    </row>
    <row r="1356" spans="1:7" s="62" customFormat="1" ht="12.75" x14ac:dyDescent="0.25">
      <c r="A1356" s="28">
        <f t="shared" si="37"/>
        <v>1283</v>
      </c>
      <c r="B1356" s="53" t="s">
        <v>2187</v>
      </c>
      <c r="C1356" s="88" t="s">
        <v>2188</v>
      </c>
      <c r="D1356" s="28" t="s">
        <v>438</v>
      </c>
      <c r="E1356" s="59">
        <v>156720</v>
      </c>
      <c r="F1356" s="60"/>
      <c r="G1356" s="61"/>
    </row>
    <row r="1357" spans="1:7" s="62" customFormat="1" ht="25.5" x14ac:dyDescent="0.25">
      <c r="A1357" s="28">
        <f t="shared" si="37"/>
        <v>1284</v>
      </c>
      <c r="B1357" s="53" t="s">
        <v>2189</v>
      </c>
      <c r="C1357" s="88" t="s">
        <v>2190</v>
      </c>
      <c r="D1357" s="28" t="s">
        <v>438</v>
      </c>
      <c r="E1357" s="59">
        <v>38520</v>
      </c>
      <c r="F1357" s="60"/>
      <c r="G1357" s="61"/>
    </row>
    <row r="1358" spans="1:7" s="62" customFormat="1" ht="25.5" x14ac:dyDescent="0.25">
      <c r="A1358" s="28">
        <f t="shared" si="37"/>
        <v>1285</v>
      </c>
      <c r="B1358" s="53" t="s">
        <v>2191</v>
      </c>
      <c r="C1358" s="88" t="s">
        <v>2192</v>
      </c>
      <c r="D1358" s="28" t="s">
        <v>438</v>
      </c>
      <c r="E1358" s="59">
        <v>64200</v>
      </c>
      <c r="F1358" s="60"/>
      <c r="G1358" s="61"/>
    </row>
    <row r="1359" spans="1:7" s="62" customFormat="1" ht="25.5" x14ac:dyDescent="0.25">
      <c r="A1359" s="28">
        <f t="shared" si="37"/>
        <v>1286</v>
      </c>
      <c r="B1359" s="53" t="s">
        <v>2193</v>
      </c>
      <c r="C1359" s="88" t="s">
        <v>2194</v>
      </c>
      <c r="D1359" s="28" t="s">
        <v>438</v>
      </c>
      <c r="E1359" s="59">
        <v>128400</v>
      </c>
      <c r="F1359" s="60"/>
      <c r="G1359" s="61"/>
    </row>
    <row r="1360" spans="1:7" s="62" customFormat="1" ht="12.75" x14ac:dyDescent="0.25">
      <c r="A1360" s="28">
        <f t="shared" si="37"/>
        <v>1287</v>
      </c>
      <c r="B1360" s="29" t="s">
        <v>2195</v>
      </c>
      <c r="C1360" s="28" t="s">
        <v>476</v>
      </c>
      <c r="D1360" s="28" t="s">
        <v>467</v>
      </c>
      <c r="E1360" s="59">
        <v>89880</v>
      </c>
      <c r="F1360" s="60"/>
      <c r="G1360" s="61"/>
    </row>
    <row r="1361" spans="1:10" s="62" customFormat="1" ht="12.75" x14ac:dyDescent="0.25">
      <c r="A1361" s="28">
        <f t="shared" si="37"/>
        <v>1288</v>
      </c>
      <c r="B1361" s="53" t="s">
        <v>2196</v>
      </c>
      <c r="C1361" s="88" t="s">
        <v>2197</v>
      </c>
      <c r="D1361" s="28" t="s">
        <v>438</v>
      </c>
      <c r="E1361" s="59">
        <v>295440</v>
      </c>
      <c r="F1361" s="60"/>
      <c r="G1361" s="61"/>
    </row>
    <row r="1362" spans="1:10" s="62" customFormat="1" ht="12.75" x14ac:dyDescent="0.25">
      <c r="A1362" s="28">
        <f t="shared" si="37"/>
        <v>1289</v>
      </c>
      <c r="B1362" s="53" t="s">
        <v>2198</v>
      </c>
      <c r="C1362" s="88" t="s">
        <v>2199</v>
      </c>
      <c r="D1362" s="28" t="s">
        <v>438</v>
      </c>
      <c r="E1362" s="59">
        <v>150240</v>
      </c>
      <c r="F1362" s="60"/>
      <c r="G1362" s="61"/>
    </row>
    <row r="1363" spans="1:10" s="62" customFormat="1" ht="25.5" x14ac:dyDescent="0.25">
      <c r="A1363" s="28">
        <f t="shared" si="37"/>
        <v>1290</v>
      </c>
      <c r="B1363" s="80" t="s">
        <v>2200</v>
      </c>
      <c r="C1363" s="112" t="s">
        <v>2201</v>
      </c>
      <c r="D1363" s="59" t="s">
        <v>438</v>
      </c>
      <c r="E1363" s="59">
        <v>196560</v>
      </c>
      <c r="F1363" s="60"/>
      <c r="G1363" s="61"/>
    </row>
    <row r="1364" spans="1:10" s="62" customFormat="1" ht="25.5" x14ac:dyDescent="0.25">
      <c r="A1364" s="28">
        <f t="shared" si="37"/>
        <v>1291</v>
      </c>
      <c r="B1364" s="80" t="s">
        <v>2202</v>
      </c>
      <c r="C1364" s="112" t="s">
        <v>2203</v>
      </c>
      <c r="D1364" s="59" t="s">
        <v>438</v>
      </c>
      <c r="E1364" s="59">
        <v>113040</v>
      </c>
      <c r="F1364" s="60"/>
      <c r="G1364" s="61"/>
    </row>
    <row r="1365" spans="1:10" s="62" customFormat="1" ht="12.75" x14ac:dyDescent="0.25">
      <c r="A1365" s="28">
        <f t="shared" si="37"/>
        <v>1292</v>
      </c>
      <c r="B1365" s="53" t="s">
        <v>2204</v>
      </c>
      <c r="C1365" s="88" t="s">
        <v>2205</v>
      </c>
      <c r="D1365" s="28" t="s">
        <v>438</v>
      </c>
      <c r="E1365" s="59">
        <v>892440</v>
      </c>
      <c r="F1365" s="60"/>
      <c r="G1365" s="61"/>
    </row>
    <row r="1366" spans="1:10" s="62" customFormat="1" ht="12.75" x14ac:dyDescent="0.25">
      <c r="A1366" s="28">
        <f t="shared" si="37"/>
        <v>1293</v>
      </c>
      <c r="B1366" s="53" t="s">
        <v>2206</v>
      </c>
      <c r="C1366" s="88" t="s">
        <v>2168</v>
      </c>
      <c r="D1366" s="28" t="s">
        <v>438</v>
      </c>
      <c r="E1366" s="59">
        <v>417360</v>
      </c>
      <c r="F1366" s="60"/>
      <c r="G1366" s="61"/>
    </row>
    <row r="1367" spans="1:10" s="62" customFormat="1" ht="12.75" x14ac:dyDescent="0.25">
      <c r="A1367" s="28">
        <f t="shared" si="37"/>
        <v>1294</v>
      </c>
      <c r="B1367" s="53" t="s">
        <v>2207</v>
      </c>
      <c r="C1367" s="88" t="s">
        <v>2208</v>
      </c>
      <c r="D1367" s="28" t="s">
        <v>438</v>
      </c>
      <c r="E1367" s="59">
        <v>256800</v>
      </c>
      <c r="F1367" s="60"/>
      <c r="G1367" s="61"/>
    </row>
    <row r="1368" spans="1:10" s="62" customFormat="1" ht="25.5" x14ac:dyDescent="0.25">
      <c r="A1368" s="28">
        <f t="shared" si="37"/>
        <v>1295</v>
      </c>
      <c r="B1368" s="53" t="s">
        <v>2209</v>
      </c>
      <c r="C1368" s="88" t="s">
        <v>2210</v>
      </c>
      <c r="D1368" s="28" t="s">
        <v>438</v>
      </c>
      <c r="E1368" s="59">
        <v>205440</v>
      </c>
      <c r="F1368" s="60"/>
      <c r="G1368" s="61"/>
    </row>
    <row r="1369" spans="1:10" s="62" customFormat="1" ht="25.5" x14ac:dyDescent="0.25">
      <c r="A1369" s="28">
        <f t="shared" si="37"/>
        <v>1296</v>
      </c>
      <c r="B1369" s="81" t="s">
        <v>2211</v>
      </c>
      <c r="C1369" s="88" t="s">
        <v>2212</v>
      </c>
      <c r="D1369" s="28" t="s">
        <v>438</v>
      </c>
      <c r="E1369" s="59">
        <v>513600</v>
      </c>
      <c r="F1369" s="60"/>
      <c r="G1369" s="61"/>
    </row>
    <row r="1370" spans="1:10" s="62" customFormat="1" ht="12.75" x14ac:dyDescent="0.25">
      <c r="A1370" s="28">
        <f t="shared" si="37"/>
        <v>1297</v>
      </c>
      <c r="B1370" s="53" t="s">
        <v>2213</v>
      </c>
      <c r="C1370" s="110" t="s">
        <v>2214</v>
      </c>
      <c r="D1370" s="28" t="s">
        <v>438</v>
      </c>
      <c r="E1370" s="59">
        <v>96360</v>
      </c>
      <c r="F1370" s="60"/>
      <c r="G1370" s="61"/>
    </row>
    <row r="1371" spans="1:10" s="62" customFormat="1" ht="12.75" x14ac:dyDescent="0.25">
      <c r="A1371" s="28">
        <f t="shared" ref="A1371:A1434" si="38">A1370+1</f>
        <v>1298</v>
      </c>
      <c r="B1371" s="53" t="s">
        <v>2215</v>
      </c>
      <c r="C1371" s="110" t="s">
        <v>2216</v>
      </c>
      <c r="D1371" s="28" t="s">
        <v>438</v>
      </c>
      <c r="E1371" s="59">
        <v>128520</v>
      </c>
      <c r="F1371" s="60"/>
      <c r="G1371" s="61"/>
    </row>
    <row r="1372" spans="1:10" s="62" customFormat="1" ht="38.25" x14ac:dyDescent="0.25">
      <c r="A1372" s="28">
        <f t="shared" si="38"/>
        <v>1299</v>
      </c>
      <c r="B1372" s="53" t="s">
        <v>2217</v>
      </c>
      <c r="C1372" s="110" t="s">
        <v>2218</v>
      </c>
      <c r="D1372" s="28" t="s">
        <v>438</v>
      </c>
      <c r="E1372" s="59">
        <v>115560</v>
      </c>
      <c r="F1372" s="60"/>
      <c r="G1372" s="61"/>
    </row>
    <row r="1373" spans="1:10" s="62" customFormat="1" ht="25.5" x14ac:dyDescent="0.25">
      <c r="A1373" s="28">
        <f t="shared" si="38"/>
        <v>1300</v>
      </c>
      <c r="B1373" s="53" t="s">
        <v>2219</v>
      </c>
      <c r="C1373" s="110" t="s">
        <v>2220</v>
      </c>
      <c r="D1373" s="28" t="s">
        <v>438</v>
      </c>
      <c r="E1373" s="59">
        <v>131040</v>
      </c>
      <c r="F1373" s="60"/>
      <c r="G1373" s="61"/>
    </row>
    <row r="1374" spans="1:10" s="62" customFormat="1" ht="25.5" x14ac:dyDescent="0.25">
      <c r="A1374" s="28">
        <f t="shared" si="38"/>
        <v>1301</v>
      </c>
      <c r="B1374" s="53" t="s">
        <v>2221</v>
      </c>
      <c r="C1374" s="110" t="s">
        <v>2222</v>
      </c>
      <c r="D1374" s="28" t="s">
        <v>438</v>
      </c>
      <c r="E1374" s="59">
        <v>539280</v>
      </c>
      <c r="F1374" s="60"/>
      <c r="G1374" s="61"/>
    </row>
    <row r="1375" spans="1:10" s="62" customFormat="1" ht="12.75" x14ac:dyDescent="0.25">
      <c r="A1375" s="28">
        <f t="shared" si="38"/>
        <v>1302</v>
      </c>
      <c r="B1375" s="53" t="s">
        <v>2223</v>
      </c>
      <c r="C1375" s="110" t="s">
        <v>2224</v>
      </c>
      <c r="D1375" s="28" t="s">
        <v>438</v>
      </c>
      <c r="E1375" s="59">
        <v>282480</v>
      </c>
      <c r="F1375" s="60"/>
      <c r="G1375" s="61"/>
      <c r="H1375" s="77"/>
      <c r="I1375" s="77"/>
      <c r="J1375" s="77"/>
    </row>
    <row r="1376" spans="1:10" s="62" customFormat="1" ht="25.5" x14ac:dyDescent="0.25">
      <c r="A1376" s="28">
        <f t="shared" si="38"/>
        <v>1303</v>
      </c>
      <c r="B1376" s="53" t="s">
        <v>2225</v>
      </c>
      <c r="C1376" s="110" t="s">
        <v>2226</v>
      </c>
      <c r="D1376" s="28" t="s">
        <v>438</v>
      </c>
      <c r="E1376" s="59">
        <v>706200</v>
      </c>
      <c r="F1376" s="60"/>
      <c r="G1376" s="61"/>
    </row>
    <row r="1377" spans="1:11" s="62" customFormat="1" ht="12.75" x14ac:dyDescent="0.25">
      <c r="A1377" s="28">
        <f t="shared" si="38"/>
        <v>1304</v>
      </c>
      <c r="B1377" s="53" t="s">
        <v>2227</v>
      </c>
      <c r="C1377" s="110" t="s">
        <v>2228</v>
      </c>
      <c r="D1377" s="28" t="s">
        <v>438</v>
      </c>
      <c r="E1377" s="59">
        <v>513720</v>
      </c>
      <c r="F1377" s="60"/>
      <c r="G1377" s="61"/>
    </row>
    <row r="1378" spans="1:11" s="62" customFormat="1" ht="25.5" x14ac:dyDescent="0.25">
      <c r="A1378" s="28">
        <f t="shared" si="38"/>
        <v>1305</v>
      </c>
      <c r="B1378" s="53" t="s">
        <v>2229</v>
      </c>
      <c r="C1378" s="110" t="s">
        <v>2230</v>
      </c>
      <c r="D1378" s="28" t="s">
        <v>438</v>
      </c>
      <c r="E1378" s="59">
        <v>642000</v>
      </c>
      <c r="F1378" s="60"/>
      <c r="G1378" s="61"/>
    </row>
    <row r="1379" spans="1:11" s="62" customFormat="1" ht="25.5" x14ac:dyDescent="0.25">
      <c r="A1379" s="28">
        <f t="shared" si="38"/>
        <v>1306</v>
      </c>
      <c r="B1379" s="53" t="s">
        <v>2231</v>
      </c>
      <c r="C1379" s="110" t="s">
        <v>2232</v>
      </c>
      <c r="D1379" s="28" t="s">
        <v>438</v>
      </c>
      <c r="E1379" s="59">
        <v>642000</v>
      </c>
      <c r="F1379" s="60"/>
      <c r="G1379" s="61"/>
    </row>
    <row r="1380" spans="1:11" s="62" customFormat="1" ht="12.75" x14ac:dyDescent="0.25">
      <c r="A1380" s="28">
        <f t="shared" si="38"/>
        <v>1307</v>
      </c>
      <c r="B1380" s="53" t="s">
        <v>2233</v>
      </c>
      <c r="C1380" s="110" t="s">
        <v>2234</v>
      </c>
      <c r="D1380" s="28" t="s">
        <v>438</v>
      </c>
      <c r="E1380" s="59">
        <v>577800</v>
      </c>
      <c r="F1380" s="60"/>
      <c r="G1380" s="61"/>
    </row>
    <row r="1381" spans="1:11" s="62" customFormat="1" ht="12.75" x14ac:dyDescent="0.25">
      <c r="A1381" s="28">
        <f t="shared" si="38"/>
        <v>1308</v>
      </c>
      <c r="B1381" s="53" t="s">
        <v>2235</v>
      </c>
      <c r="C1381" s="110" t="s">
        <v>2236</v>
      </c>
      <c r="D1381" s="28" t="s">
        <v>438</v>
      </c>
      <c r="E1381" s="59">
        <v>385200</v>
      </c>
      <c r="F1381" s="60"/>
      <c r="G1381" s="61"/>
      <c r="H1381" s="63"/>
      <c r="I1381" s="63"/>
      <c r="J1381" s="63"/>
    </row>
    <row r="1382" spans="1:11" s="62" customFormat="1" ht="12.75" x14ac:dyDescent="0.25">
      <c r="A1382" s="28">
        <f t="shared" si="38"/>
        <v>1309</v>
      </c>
      <c r="B1382" s="53" t="s">
        <v>2237</v>
      </c>
      <c r="C1382" s="110" t="s">
        <v>2238</v>
      </c>
      <c r="D1382" s="28" t="s">
        <v>438</v>
      </c>
      <c r="E1382" s="59">
        <v>192600</v>
      </c>
      <c r="F1382" s="60"/>
      <c r="G1382" s="61"/>
    </row>
    <row r="1383" spans="1:11" s="62" customFormat="1" ht="12.75" x14ac:dyDescent="0.25">
      <c r="A1383" s="28">
        <f t="shared" si="38"/>
        <v>1310</v>
      </c>
      <c r="B1383" s="53" t="s">
        <v>2239</v>
      </c>
      <c r="C1383" s="110" t="s">
        <v>2240</v>
      </c>
      <c r="D1383" s="28" t="s">
        <v>438</v>
      </c>
      <c r="E1383" s="59">
        <v>642000</v>
      </c>
      <c r="F1383" s="60"/>
      <c r="G1383" s="61"/>
    </row>
    <row r="1384" spans="1:11" s="62" customFormat="1" ht="25.5" x14ac:dyDescent="0.25">
      <c r="A1384" s="28">
        <f t="shared" si="38"/>
        <v>1311</v>
      </c>
      <c r="B1384" s="53" t="s">
        <v>2241</v>
      </c>
      <c r="C1384" s="110" t="s">
        <v>2242</v>
      </c>
      <c r="D1384" s="28" t="s">
        <v>438</v>
      </c>
      <c r="E1384" s="59">
        <v>256800</v>
      </c>
      <c r="F1384" s="60"/>
      <c r="G1384" s="61"/>
      <c r="K1384" s="77"/>
    </row>
    <row r="1385" spans="1:11" s="77" customFormat="1" ht="12.75" x14ac:dyDescent="0.25">
      <c r="A1385" s="28">
        <f t="shared" si="38"/>
        <v>1312</v>
      </c>
      <c r="B1385" s="53" t="s">
        <v>2243</v>
      </c>
      <c r="C1385" s="110" t="s">
        <v>2244</v>
      </c>
      <c r="D1385" s="28" t="s">
        <v>438</v>
      </c>
      <c r="E1385" s="59">
        <v>629160</v>
      </c>
      <c r="F1385" s="60"/>
      <c r="G1385" s="61"/>
      <c r="H1385" s="62"/>
      <c r="I1385" s="62"/>
      <c r="J1385" s="62"/>
      <c r="K1385" s="62"/>
    </row>
    <row r="1386" spans="1:11" s="62" customFormat="1" ht="12.75" x14ac:dyDescent="0.25">
      <c r="A1386" s="28">
        <f t="shared" si="38"/>
        <v>1313</v>
      </c>
      <c r="B1386" s="53" t="s">
        <v>2245</v>
      </c>
      <c r="C1386" s="110" t="s">
        <v>2246</v>
      </c>
      <c r="D1386" s="28" t="s">
        <v>438</v>
      </c>
      <c r="E1386" s="59">
        <v>189480</v>
      </c>
      <c r="F1386" s="60"/>
      <c r="G1386" s="61"/>
    </row>
    <row r="1387" spans="1:11" s="62" customFormat="1" ht="12.75" x14ac:dyDescent="0.25">
      <c r="A1387" s="28">
        <f t="shared" si="38"/>
        <v>1314</v>
      </c>
      <c r="B1387" s="53" t="s">
        <v>2247</v>
      </c>
      <c r="C1387" s="110" t="s">
        <v>2248</v>
      </c>
      <c r="D1387" s="28" t="s">
        <v>438</v>
      </c>
      <c r="E1387" s="59">
        <v>256800</v>
      </c>
      <c r="F1387" s="60"/>
      <c r="G1387" s="61"/>
    </row>
    <row r="1388" spans="1:11" s="62" customFormat="1" ht="12.75" x14ac:dyDescent="0.25">
      <c r="A1388" s="28">
        <f t="shared" si="38"/>
        <v>1315</v>
      </c>
      <c r="B1388" s="53" t="s">
        <v>2249</v>
      </c>
      <c r="C1388" s="110" t="s">
        <v>2250</v>
      </c>
      <c r="D1388" s="28" t="s">
        <v>438</v>
      </c>
      <c r="E1388" s="59">
        <v>417360</v>
      </c>
      <c r="F1388" s="60"/>
      <c r="G1388" s="61"/>
    </row>
    <row r="1389" spans="1:11" s="62" customFormat="1" ht="25.5" x14ac:dyDescent="0.25">
      <c r="A1389" s="28">
        <f t="shared" si="38"/>
        <v>1316</v>
      </c>
      <c r="B1389" s="53" t="s">
        <v>2251</v>
      </c>
      <c r="C1389" s="110" t="s">
        <v>2252</v>
      </c>
      <c r="D1389" s="28" t="s">
        <v>438</v>
      </c>
      <c r="E1389" s="59">
        <v>385200</v>
      </c>
      <c r="F1389" s="60"/>
      <c r="G1389" s="61"/>
    </row>
    <row r="1390" spans="1:11" s="62" customFormat="1" ht="25.5" x14ac:dyDescent="0.25">
      <c r="A1390" s="28">
        <f t="shared" si="38"/>
        <v>1317</v>
      </c>
      <c r="B1390" s="53" t="s">
        <v>2253</v>
      </c>
      <c r="C1390" s="110" t="s">
        <v>2254</v>
      </c>
      <c r="D1390" s="28" t="s">
        <v>438</v>
      </c>
      <c r="E1390" s="59">
        <v>449400</v>
      </c>
      <c r="F1390" s="60"/>
      <c r="G1390" s="61"/>
      <c r="H1390" s="82"/>
      <c r="I1390" s="82"/>
      <c r="J1390" s="82"/>
      <c r="K1390" s="63"/>
    </row>
    <row r="1391" spans="1:11" s="63" customFormat="1" ht="25.5" x14ac:dyDescent="0.25">
      <c r="A1391" s="28">
        <f t="shared" si="38"/>
        <v>1318</v>
      </c>
      <c r="B1391" s="53" t="s">
        <v>2255</v>
      </c>
      <c r="C1391" s="110" t="s">
        <v>2256</v>
      </c>
      <c r="D1391" s="28" t="s">
        <v>438</v>
      </c>
      <c r="E1391" s="59">
        <v>513600</v>
      </c>
      <c r="F1391" s="60"/>
      <c r="G1391" s="61"/>
      <c r="H1391" s="77"/>
      <c r="I1391" s="77"/>
      <c r="J1391" s="77"/>
      <c r="K1391" s="62"/>
    </row>
    <row r="1392" spans="1:11" s="62" customFormat="1" ht="25.5" x14ac:dyDescent="0.25">
      <c r="A1392" s="28">
        <f t="shared" si="38"/>
        <v>1319</v>
      </c>
      <c r="B1392" s="53" t="s">
        <v>2257</v>
      </c>
      <c r="C1392" s="110" t="s">
        <v>2258</v>
      </c>
      <c r="D1392" s="28" t="s">
        <v>438</v>
      </c>
      <c r="E1392" s="59">
        <v>192600</v>
      </c>
      <c r="F1392" s="60"/>
      <c r="G1392" s="61"/>
      <c r="H1392" s="77"/>
      <c r="I1392" s="77"/>
      <c r="J1392" s="77"/>
    </row>
    <row r="1393" spans="1:11" s="62" customFormat="1" ht="25.5" x14ac:dyDescent="0.25">
      <c r="A1393" s="28">
        <f t="shared" si="38"/>
        <v>1320</v>
      </c>
      <c r="B1393" s="53" t="s">
        <v>2259</v>
      </c>
      <c r="C1393" s="110" t="s">
        <v>2260</v>
      </c>
      <c r="D1393" s="28" t="s">
        <v>438</v>
      </c>
      <c r="E1393" s="59">
        <v>256800</v>
      </c>
      <c r="F1393" s="60"/>
      <c r="G1393" s="61"/>
      <c r="H1393" s="77"/>
      <c r="I1393" s="77"/>
      <c r="J1393" s="77"/>
    </row>
    <row r="1394" spans="1:11" s="62" customFormat="1" ht="25.5" x14ac:dyDescent="0.25">
      <c r="A1394" s="28">
        <f t="shared" si="38"/>
        <v>1321</v>
      </c>
      <c r="B1394" s="53" t="s">
        <v>2261</v>
      </c>
      <c r="C1394" s="110" t="s">
        <v>2262</v>
      </c>
      <c r="D1394" s="28" t="s">
        <v>356</v>
      </c>
      <c r="E1394" s="59">
        <v>321000</v>
      </c>
      <c r="F1394" s="60"/>
      <c r="G1394" s="61"/>
    </row>
    <row r="1395" spans="1:11" s="62" customFormat="1" ht="12.75" x14ac:dyDescent="0.25">
      <c r="A1395" s="28">
        <f t="shared" si="38"/>
        <v>1322</v>
      </c>
      <c r="B1395" s="81" t="s">
        <v>2263</v>
      </c>
      <c r="C1395" s="110" t="s">
        <v>2264</v>
      </c>
      <c r="D1395" s="28" t="s">
        <v>438</v>
      </c>
      <c r="E1395" s="59">
        <v>205440</v>
      </c>
      <c r="F1395" s="60"/>
      <c r="G1395" s="61"/>
    </row>
    <row r="1396" spans="1:11" s="62" customFormat="1" ht="25.5" x14ac:dyDescent="0.25">
      <c r="A1396" s="28">
        <f t="shared" si="38"/>
        <v>1323</v>
      </c>
      <c r="B1396" s="53" t="s">
        <v>2265</v>
      </c>
      <c r="C1396" s="110" t="s">
        <v>2266</v>
      </c>
      <c r="D1396" s="28" t="s">
        <v>438</v>
      </c>
      <c r="E1396" s="59">
        <v>642000</v>
      </c>
      <c r="F1396" s="60"/>
      <c r="G1396" s="61"/>
    </row>
    <row r="1397" spans="1:11" s="62" customFormat="1" ht="12.75" x14ac:dyDescent="0.25">
      <c r="A1397" s="28">
        <f t="shared" si="38"/>
        <v>1324</v>
      </c>
      <c r="B1397" s="53" t="s">
        <v>2267</v>
      </c>
      <c r="C1397" s="110" t="s">
        <v>2268</v>
      </c>
      <c r="D1397" s="28" t="s">
        <v>438</v>
      </c>
      <c r="E1397" s="59">
        <v>321000</v>
      </c>
      <c r="F1397" s="60"/>
      <c r="G1397" s="61"/>
    </row>
    <row r="1398" spans="1:11" s="62" customFormat="1" ht="25.5" x14ac:dyDescent="0.25">
      <c r="A1398" s="28">
        <f t="shared" si="38"/>
        <v>1325</v>
      </c>
      <c r="B1398" s="53" t="s">
        <v>2269</v>
      </c>
      <c r="C1398" s="110" t="s">
        <v>2270</v>
      </c>
      <c r="D1398" s="28" t="s">
        <v>438</v>
      </c>
      <c r="E1398" s="59">
        <v>321000</v>
      </c>
      <c r="F1398" s="60"/>
      <c r="G1398" s="61"/>
    </row>
    <row r="1399" spans="1:11" s="62" customFormat="1" ht="12.75" x14ac:dyDescent="0.25">
      <c r="A1399" s="28">
        <f t="shared" si="38"/>
        <v>1326</v>
      </c>
      <c r="B1399" s="81" t="s">
        <v>2271</v>
      </c>
      <c r="C1399" s="110" t="s">
        <v>2272</v>
      </c>
      <c r="D1399" s="28" t="s">
        <v>438</v>
      </c>
      <c r="E1399" s="59">
        <v>385320</v>
      </c>
      <c r="F1399" s="60"/>
      <c r="G1399" s="61"/>
      <c r="K1399" s="82"/>
    </row>
    <row r="1400" spans="1:11" s="82" customFormat="1" ht="12.75" x14ac:dyDescent="0.25">
      <c r="A1400" s="28">
        <f t="shared" si="38"/>
        <v>1327</v>
      </c>
      <c r="B1400" s="53" t="s">
        <v>2273</v>
      </c>
      <c r="C1400" s="110" t="s">
        <v>2274</v>
      </c>
      <c r="D1400" s="28" t="s">
        <v>438</v>
      </c>
      <c r="E1400" s="59">
        <v>128520</v>
      </c>
      <c r="F1400" s="60"/>
      <c r="G1400" s="61"/>
      <c r="K1400" s="77"/>
    </row>
    <row r="1401" spans="1:11" s="77" customFormat="1" ht="12.75" x14ac:dyDescent="0.25">
      <c r="A1401" s="28">
        <f t="shared" si="38"/>
        <v>1328</v>
      </c>
      <c r="B1401" s="53" t="s">
        <v>2275</v>
      </c>
      <c r="C1401" s="110" t="s">
        <v>2276</v>
      </c>
      <c r="D1401" s="28" t="s">
        <v>438</v>
      </c>
      <c r="E1401" s="59">
        <v>192600</v>
      </c>
      <c r="F1401" s="60"/>
      <c r="G1401" s="61"/>
      <c r="H1401" s="62"/>
      <c r="I1401" s="62"/>
      <c r="J1401" s="62"/>
    </row>
    <row r="1402" spans="1:11" s="77" customFormat="1" ht="12.75" x14ac:dyDescent="0.25">
      <c r="A1402" s="28">
        <f t="shared" si="38"/>
        <v>1329</v>
      </c>
      <c r="B1402" s="53" t="s">
        <v>2277</v>
      </c>
      <c r="C1402" s="110" t="s">
        <v>2278</v>
      </c>
      <c r="D1402" s="28" t="s">
        <v>438</v>
      </c>
      <c r="E1402" s="59">
        <v>231120</v>
      </c>
      <c r="F1402" s="60"/>
      <c r="G1402" s="61"/>
      <c r="H1402" s="62"/>
      <c r="I1402" s="62"/>
      <c r="J1402" s="62"/>
    </row>
    <row r="1403" spans="1:11" s="77" customFormat="1" ht="12.75" x14ac:dyDescent="0.25">
      <c r="A1403" s="28">
        <f t="shared" si="38"/>
        <v>1330</v>
      </c>
      <c r="B1403" s="53" t="s">
        <v>2279</v>
      </c>
      <c r="C1403" s="110" t="s">
        <v>2280</v>
      </c>
      <c r="D1403" s="28" t="s">
        <v>438</v>
      </c>
      <c r="E1403" s="59">
        <v>106680</v>
      </c>
      <c r="F1403" s="60"/>
      <c r="G1403" s="61"/>
      <c r="H1403" s="62"/>
      <c r="I1403" s="62"/>
      <c r="J1403" s="62"/>
      <c r="K1403" s="62"/>
    </row>
    <row r="1404" spans="1:11" s="62" customFormat="1" ht="12.75" x14ac:dyDescent="0.25">
      <c r="A1404" s="28">
        <f t="shared" si="38"/>
        <v>1331</v>
      </c>
      <c r="B1404" s="53" t="s">
        <v>2281</v>
      </c>
      <c r="C1404" s="110" t="s">
        <v>2282</v>
      </c>
      <c r="D1404" s="28" t="s">
        <v>438</v>
      </c>
      <c r="E1404" s="59">
        <v>256800</v>
      </c>
      <c r="F1404" s="60"/>
      <c r="G1404" s="61"/>
    </row>
    <row r="1405" spans="1:11" s="62" customFormat="1" ht="12.75" x14ac:dyDescent="0.25">
      <c r="A1405" s="28">
        <f t="shared" si="38"/>
        <v>1332</v>
      </c>
      <c r="B1405" s="81" t="s">
        <v>2283</v>
      </c>
      <c r="C1405" s="110" t="s">
        <v>2284</v>
      </c>
      <c r="D1405" s="28" t="s">
        <v>438</v>
      </c>
      <c r="E1405" s="59">
        <v>205440</v>
      </c>
      <c r="F1405" s="60"/>
      <c r="G1405" s="61"/>
    </row>
    <row r="1406" spans="1:11" s="62" customFormat="1" ht="12.75" x14ac:dyDescent="0.25">
      <c r="A1406" s="28">
        <f t="shared" si="38"/>
        <v>1333</v>
      </c>
      <c r="B1406" s="81" t="s">
        <v>2285</v>
      </c>
      <c r="C1406" s="110" t="s">
        <v>2286</v>
      </c>
      <c r="D1406" s="28" t="s">
        <v>438</v>
      </c>
      <c r="E1406" s="59">
        <v>205440</v>
      </c>
      <c r="F1406" s="60"/>
      <c r="G1406" s="61"/>
    </row>
    <row r="1407" spans="1:11" s="62" customFormat="1" ht="25.5" x14ac:dyDescent="0.25">
      <c r="A1407" s="28">
        <f t="shared" si="38"/>
        <v>1334</v>
      </c>
      <c r="B1407" s="53" t="s">
        <v>2287</v>
      </c>
      <c r="C1407" s="110" t="s">
        <v>2288</v>
      </c>
      <c r="D1407" s="28" t="s">
        <v>438</v>
      </c>
      <c r="E1407" s="59">
        <v>513600</v>
      </c>
      <c r="F1407" s="60"/>
      <c r="G1407" s="61"/>
    </row>
    <row r="1408" spans="1:11" s="62" customFormat="1" ht="25.5" x14ac:dyDescent="0.25">
      <c r="A1408" s="28">
        <f t="shared" si="38"/>
        <v>1335</v>
      </c>
      <c r="B1408" s="53" t="s">
        <v>2289</v>
      </c>
      <c r="C1408" s="110" t="s">
        <v>2290</v>
      </c>
      <c r="D1408" s="28" t="s">
        <v>438</v>
      </c>
      <c r="E1408" s="59">
        <v>513600</v>
      </c>
      <c r="F1408" s="60"/>
      <c r="G1408" s="61"/>
    </row>
    <row r="1409" spans="1:11" s="62" customFormat="1" ht="25.5" x14ac:dyDescent="0.25">
      <c r="A1409" s="28">
        <f t="shared" si="38"/>
        <v>1336</v>
      </c>
      <c r="B1409" s="81" t="s">
        <v>2291</v>
      </c>
      <c r="C1409" s="110" t="s">
        <v>2292</v>
      </c>
      <c r="D1409" s="28" t="s">
        <v>438</v>
      </c>
      <c r="E1409" s="59">
        <v>115560</v>
      </c>
      <c r="F1409" s="60"/>
      <c r="G1409" s="61"/>
      <c r="K1409" s="82"/>
    </row>
    <row r="1410" spans="1:11" s="82" customFormat="1" ht="12.75" x14ac:dyDescent="0.25">
      <c r="A1410" s="28">
        <f t="shared" si="38"/>
        <v>1337</v>
      </c>
      <c r="B1410" s="81" t="s">
        <v>2293</v>
      </c>
      <c r="C1410" s="110" t="s">
        <v>2294</v>
      </c>
      <c r="D1410" s="28" t="s">
        <v>438</v>
      </c>
      <c r="E1410" s="59">
        <v>64200</v>
      </c>
      <c r="F1410" s="60"/>
      <c r="G1410" s="61"/>
      <c r="H1410" s="62"/>
      <c r="I1410" s="62"/>
      <c r="J1410" s="62"/>
      <c r="K1410" s="62"/>
    </row>
    <row r="1411" spans="1:11" s="62" customFormat="1" ht="25.5" x14ac:dyDescent="0.25">
      <c r="A1411" s="28">
        <f t="shared" si="38"/>
        <v>1338</v>
      </c>
      <c r="B1411" s="53" t="s">
        <v>2295</v>
      </c>
      <c r="C1411" s="110" t="s">
        <v>2296</v>
      </c>
      <c r="D1411" s="28" t="s">
        <v>438</v>
      </c>
      <c r="E1411" s="59">
        <v>513600</v>
      </c>
      <c r="F1411" s="60"/>
      <c r="G1411" s="61"/>
    </row>
    <row r="1412" spans="1:11" s="62" customFormat="1" ht="12.75" x14ac:dyDescent="0.25">
      <c r="A1412" s="28">
        <f t="shared" si="38"/>
        <v>1339</v>
      </c>
      <c r="B1412" s="53" t="s">
        <v>2297</v>
      </c>
      <c r="C1412" s="110"/>
      <c r="D1412" s="28" t="s">
        <v>438</v>
      </c>
      <c r="E1412" s="59">
        <v>128400</v>
      </c>
      <c r="F1412" s="60"/>
      <c r="G1412" s="61"/>
    </row>
    <row r="1413" spans="1:11" s="62" customFormat="1" ht="25.5" x14ac:dyDescent="0.25">
      <c r="A1413" s="28">
        <f t="shared" si="38"/>
        <v>1340</v>
      </c>
      <c r="B1413" s="81" t="s">
        <v>2298</v>
      </c>
      <c r="C1413" s="110" t="s">
        <v>2299</v>
      </c>
      <c r="D1413" s="28" t="s">
        <v>438</v>
      </c>
      <c r="E1413" s="59">
        <v>89880</v>
      </c>
      <c r="F1413" s="60"/>
      <c r="G1413" s="61"/>
    </row>
    <row r="1414" spans="1:11" s="62" customFormat="1" ht="12.75" x14ac:dyDescent="0.25">
      <c r="A1414" s="28">
        <f t="shared" si="38"/>
        <v>1341</v>
      </c>
      <c r="B1414" s="81" t="s">
        <v>2300</v>
      </c>
      <c r="C1414" s="110"/>
      <c r="D1414" s="59" t="s">
        <v>438</v>
      </c>
      <c r="E1414" s="59">
        <v>128400</v>
      </c>
      <c r="F1414" s="60"/>
      <c r="G1414" s="61"/>
    </row>
    <row r="1415" spans="1:11" s="62" customFormat="1" ht="25.5" x14ac:dyDescent="0.25">
      <c r="A1415" s="28">
        <f t="shared" si="38"/>
        <v>1342</v>
      </c>
      <c r="B1415" s="81" t="s">
        <v>2301</v>
      </c>
      <c r="C1415" s="110" t="s">
        <v>2302</v>
      </c>
      <c r="D1415" s="59" t="s">
        <v>438</v>
      </c>
      <c r="E1415" s="59">
        <v>256800</v>
      </c>
      <c r="F1415" s="60"/>
      <c r="G1415" s="61"/>
    </row>
    <row r="1416" spans="1:11" s="62" customFormat="1" ht="12.75" x14ac:dyDescent="0.25">
      <c r="A1416" s="28">
        <f t="shared" si="38"/>
        <v>1343</v>
      </c>
      <c r="B1416" s="81" t="s">
        <v>2303</v>
      </c>
      <c r="C1416" s="110"/>
      <c r="D1416" s="59" t="s">
        <v>438</v>
      </c>
      <c r="E1416" s="59">
        <v>128400</v>
      </c>
      <c r="F1416" s="60"/>
      <c r="G1416" s="61"/>
    </row>
    <row r="1417" spans="1:11" s="62" customFormat="1" ht="12.75" x14ac:dyDescent="0.25">
      <c r="A1417" s="28">
        <f t="shared" si="38"/>
        <v>1344</v>
      </c>
      <c r="B1417" s="81" t="s">
        <v>2304</v>
      </c>
      <c r="C1417" s="110" t="s">
        <v>2305</v>
      </c>
      <c r="D1417" s="59" t="s">
        <v>438</v>
      </c>
      <c r="E1417" s="59">
        <v>237600</v>
      </c>
      <c r="F1417" s="60"/>
      <c r="G1417" s="61"/>
    </row>
    <row r="1418" spans="1:11" s="62" customFormat="1" ht="12.75" x14ac:dyDescent="0.25">
      <c r="A1418" s="28">
        <f t="shared" si="38"/>
        <v>1345</v>
      </c>
      <c r="B1418" s="81" t="s">
        <v>2306</v>
      </c>
      <c r="C1418" s="110" t="s">
        <v>2307</v>
      </c>
      <c r="D1418" s="59" t="s">
        <v>438</v>
      </c>
      <c r="E1418" s="59">
        <v>321000</v>
      </c>
      <c r="F1418" s="60"/>
      <c r="G1418" s="61"/>
    </row>
    <row r="1419" spans="1:11" s="62" customFormat="1" ht="25.5" x14ac:dyDescent="0.25">
      <c r="A1419" s="28">
        <f t="shared" si="38"/>
        <v>1346</v>
      </c>
      <c r="B1419" s="81" t="s">
        <v>2308</v>
      </c>
      <c r="C1419" s="110" t="s">
        <v>2309</v>
      </c>
      <c r="D1419" s="59" t="s">
        <v>438</v>
      </c>
      <c r="E1419" s="59">
        <v>192600</v>
      </c>
      <c r="F1419" s="60"/>
      <c r="G1419" s="61"/>
    </row>
    <row r="1420" spans="1:11" s="62" customFormat="1" ht="12.75" x14ac:dyDescent="0.25">
      <c r="A1420" s="28">
        <f t="shared" si="38"/>
        <v>1347</v>
      </c>
      <c r="B1420" s="53" t="s">
        <v>2310</v>
      </c>
      <c r="C1420" s="110" t="s">
        <v>2311</v>
      </c>
      <c r="D1420" s="28" t="s">
        <v>438</v>
      </c>
      <c r="E1420" s="59">
        <v>589560</v>
      </c>
      <c r="F1420" s="60"/>
      <c r="G1420" s="61"/>
    </row>
    <row r="1421" spans="1:11" s="62" customFormat="1" ht="12.75" x14ac:dyDescent="0.25">
      <c r="A1421" s="28">
        <f t="shared" si="38"/>
        <v>1348</v>
      </c>
      <c r="B1421" s="53" t="s">
        <v>2312</v>
      </c>
      <c r="C1421" s="110" t="s">
        <v>2313</v>
      </c>
      <c r="D1421" s="28" t="s">
        <v>438</v>
      </c>
      <c r="E1421" s="59">
        <v>128400</v>
      </c>
      <c r="F1421" s="60"/>
      <c r="G1421" s="61"/>
    </row>
    <row r="1422" spans="1:11" s="62" customFormat="1" ht="25.5" x14ac:dyDescent="0.25">
      <c r="A1422" s="28">
        <f t="shared" si="38"/>
        <v>1349</v>
      </c>
      <c r="B1422" s="53" t="s">
        <v>2314</v>
      </c>
      <c r="C1422" s="110" t="s">
        <v>2315</v>
      </c>
      <c r="D1422" s="28" t="s">
        <v>438</v>
      </c>
      <c r="E1422" s="59">
        <v>642000</v>
      </c>
      <c r="F1422" s="60"/>
      <c r="G1422" s="61"/>
    </row>
    <row r="1423" spans="1:11" s="62" customFormat="1" ht="25.5" x14ac:dyDescent="0.25">
      <c r="A1423" s="28">
        <f t="shared" si="38"/>
        <v>1350</v>
      </c>
      <c r="B1423" s="53" t="s">
        <v>2316</v>
      </c>
      <c r="C1423" s="110" t="s">
        <v>2317</v>
      </c>
      <c r="D1423" s="28" t="s">
        <v>438</v>
      </c>
      <c r="E1423" s="59">
        <v>449400</v>
      </c>
      <c r="F1423" s="60"/>
      <c r="G1423" s="61"/>
    </row>
    <row r="1424" spans="1:11" s="62" customFormat="1" ht="25.5" x14ac:dyDescent="0.25">
      <c r="A1424" s="28">
        <f t="shared" si="38"/>
        <v>1351</v>
      </c>
      <c r="B1424" s="53" t="s">
        <v>2318</v>
      </c>
      <c r="C1424" s="110" t="s">
        <v>2319</v>
      </c>
      <c r="D1424" s="28" t="s">
        <v>438</v>
      </c>
      <c r="E1424" s="59">
        <v>449400</v>
      </c>
      <c r="F1424" s="60"/>
      <c r="G1424" s="61"/>
    </row>
    <row r="1425" spans="1:7" s="62" customFormat="1" ht="12.75" x14ac:dyDescent="0.25">
      <c r="A1425" s="28">
        <f t="shared" si="38"/>
        <v>1352</v>
      </c>
      <c r="B1425" s="53" t="s">
        <v>2320</v>
      </c>
      <c r="C1425" s="110" t="s">
        <v>2321</v>
      </c>
      <c r="D1425" s="28" t="s">
        <v>438</v>
      </c>
      <c r="E1425" s="59">
        <v>256800</v>
      </c>
      <c r="F1425" s="60"/>
      <c r="G1425" s="61"/>
    </row>
    <row r="1426" spans="1:7" s="62" customFormat="1" ht="12.75" x14ac:dyDescent="0.25">
      <c r="A1426" s="28">
        <f t="shared" si="38"/>
        <v>1353</v>
      </c>
      <c r="B1426" s="81" t="s">
        <v>2322</v>
      </c>
      <c r="C1426" s="110" t="s">
        <v>2323</v>
      </c>
      <c r="D1426" s="28" t="s">
        <v>438</v>
      </c>
      <c r="E1426" s="59">
        <v>417360</v>
      </c>
      <c r="F1426" s="60"/>
      <c r="G1426" s="61"/>
    </row>
    <row r="1427" spans="1:7" s="62" customFormat="1" ht="12.75" x14ac:dyDescent="0.25">
      <c r="A1427" s="28">
        <f t="shared" si="38"/>
        <v>1354</v>
      </c>
      <c r="B1427" s="81" t="s">
        <v>2324</v>
      </c>
      <c r="C1427" s="110" t="s">
        <v>2325</v>
      </c>
      <c r="D1427" s="28" t="s">
        <v>438</v>
      </c>
      <c r="E1427" s="59">
        <v>166920</v>
      </c>
      <c r="F1427" s="60"/>
      <c r="G1427" s="61"/>
    </row>
    <row r="1428" spans="1:7" s="62" customFormat="1" ht="25.5" x14ac:dyDescent="0.25">
      <c r="A1428" s="28">
        <f t="shared" si="38"/>
        <v>1355</v>
      </c>
      <c r="B1428" s="53" t="s">
        <v>2326</v>
      </c>
      <c r="C1428" s="110" t="s">
        <v>2327</v>
      </c>
      <c r="D1428" s="28" t="s">
        <v>438</v>
      </c>
      <c r="E1428" s="59">
        <v>256800</v>
      </c>
      <c r="F1428" s="60"/>
      <c r="G1428" s="61"/>
    </row>
    <row r="1429" spans="1:7" s="62" customFormat="1" ht="25.5" x14ac:dyDescent="0.25">
      <c r="A1429" s="28">
        <f t="shared" si="38"/>
        <v>1356</v>
      </c>
      <c r="B1429" s="53" t="s">
        <v>2328</v>
      </c>
      <c r="C1429" s="110" t="s">
        <v>2329</v>
      </c>
      <c r="D1429" s="28" t="s">
        <v>438</v>
      </c>
      <c r="E1429" s="59">
        <v>321000</v>
      </c>
      <c r="F1429" s="60"/>
      <c r="G1429" s="61"/>
    </row>
    <row r="1430" spans="1:7" s="62" customFormat="1" ht="25.5" x14ac:dyDescent="0.25">
      <c r="A1430" s="28">
        <f t="shared" si="38"/>
        <v>1357</v>
      </c>
      <c r="B1430" s="53" t="s">
        <v>2330</v>
      </c>
      <c r="C1430" s="110" t="s">
        <v>2331</v>
      </c>
      <c r="D1430" s="28" t="s">
        <v>438</v>
      </c>
      <c r="E1430" s="59">
        <v>385200</v>
      </c>
      <c r="F1430" s="60"/>
      <c r="G1430" s="61"/>
    </row>
    <row r="1431" spans="1:7" s="62" customFormat="1" ht="25.5" x14ac:dyDescent="0.25">
      <c r="A1431" s="28">
        <f t="shared" si="38"/>
        <v>1358</v>
      </c>
      <c r="B1431" s="53" t="s">
        <v>2332</v>
      </c>
      <c r="C1431" s="110" t="s">
        <v>2333</v>
      </c>
      <c r="D1431" s="28" t="s">
        <v>438</v>
      </c>
      <c r="E1431" s="59">
        <v>231120</v>
      </c>
      <c r="F1431" s="60"/>
      <c r="G1431" s="61"/>
    </row>
    <row r="1432" spans="1:7" s="62" customFormat="1" ht="12.75" x14ac:dyDescent="0.25">
      <c r="A1432" s="28">
        <f t="shared" si="38"/>
        <v>1359</v>
      </c>
      <c r="B1432" s="53" t="s">
        <v>2334</v>
      </c>
      <c r="C1432" s="110" t="s">
        <v>2335</v>
      </c>
      <c r="D1432" s="28" t="s">
        <v>438</v>
      </c>
      <c r="E1432" s="59">
        <v>192600</v>
      </c>
      <c r="F1432" s="60"/>
      <c r="G1432" s="61"/>
    </row>
    <row r="1433" spans="1:7" s="62" customFormat="1" ht="12.75" x14ac:dyDescent="0.25">
      <c r="A1433" s="28">
        <f t="shared" si="38"/>
        <v>1360</v>
      </c>
      <c r="B1433" s="81" t="s">
        <v>2336</v>
      </c>
      <c r="C1433" s="110" t="s">
        <v>2337</v>
      </c>
      <c r="D1433" s="28" t="s">
        <v>438</v>
      </c>
      <c r="E1433" s="59">
        <v>205440</v>
      </c>
      <c r="F1433" s="60"/>
      <c r="G1433" s="61"/>
    </row>
    <row r="1434" spans="1:7" s="62" customFormat="1" ht="12.75" x14ac:dyDescent="0.25">
      <c r="A1434" s="28">
        <f t="shared" si="38"/>
        <v>1361</v>
      </c>
      <c r="B1434" s="81" t="s">
        <v>2338</v>
      </c>
      <c r="C1434" s="110" t="s">
        <v>2339</v>
      </c>
      <c r="D1434" s="28" t="s">
        <v>438</v>
      </c>
      <c r="E1434" s="59">
        <v>164400</v>
      </c>
      <c r="F1434" s="60"/>
      <c r="G1434" s="61"/>
    </row>
    <row r="1435" spans="1:7" s="62" customFormat="1" ht="12.75" x14ac:dyDescent="0.25">
      <c r="A1435" s="28">
        <f t="shared" ref="A1435:A1498" si="39">A1434+1</f>
        <v>1362</v>
      </c>
      <c r="B1435" s="81" t="s">
        <v>2340</v>
      </c>
      <c r="C1435" s="110" t="s">
        <v>2341</v>
      </c>
      <c r="D1435" s="28" t="s">
        <v>438</v>
      </c>
      <c r="E1435" s="59">
        <v>809640</v>
      </c>
      <c r="F1435" s="60"/>
      <c r="G1435" s="61"/>
    </row>
    <row r="1436" spans="1:7" s="62" customFormat="1" ht="12.75" x14ac:dyDescent="0.25">
      <c r="A1436" s="28">
        <f t="shared" si="39"/>
        <v>1363</v>
      </c>
      <c r="B1436" s="81" t="s">
        <v>2342</v>
      </c>
      <c r="C1436" s="110" t="s">
        <v>2343</v>
      </c>
      <c r="D1436" s="28" t="s">
        <v>438</v>
      </c>
      <c r="E1436" s="59">
        <v>500760</v>
      </c>
      <c r="F1436" s="60"/>
      <c r="G1436" s="61"/>
    </row>
    <row r="1437" spans="1:7" s="62" customFormat="1" ht="38.25" x14ac:dyDescent="0.25">
      <c r="A1437" s="28">
        <f t="shared" si="39"/>
        <v>1364</v>
      </c>
      <c r="B1437" s="81" t="s">
        <v>2344</v>
      </c>
      <c r="C1437" s="110" t="s">
        <v>2345</v>
      </c>
      <c r="D1437" s="28" t="s">
        <v>352</v>
      </c>
      <c r="E1437" s="59">
        <v>84600</v>
      </c>
      <c r="F1437" s="60"/>
      <c r="G1437" s="61"/>
    </row>
    <row r="1438" spans="1:7" s="62" customFormat="1" ht="25.5" x14ac:dyDescent="0.25">
      <c r="A1438" s="28">
        <f t="shared" si="39"/>
        <v>1365</v>
      </c>
      <c r="B1438" s="53" t="s">
        <v>2346</v>
      </c>
      <c r="C1438" s="110" t="s">
        <v>2347</v>
      </c>
      <c r="D1438" s="28" t="s">
        <v>438</v>
      </c>
      <c r="E1438" s="59">
        <v>64200</v>
      </c>
      <c r="F1438" s="60"/>
      <c r="G1438" s="61"/>
    </row>
    <row r="1439" spans="1:7" s="62" customFormat="1" ht="12.75" x14ac:dyDescent="0.25">
      <c r="A1439" s="28">
        <f t="shared" si="39"/>
        <v>1366</v>
      </c>
      <c r="B1439" s="53" t="s">
        <v>2348</v>
      </c>
      <c r="C1439" s="110" t="s">
        <v>2349</v>
      </c>
      <c r="D1439" s="28" t="s">
        <v>438</v>
      </c>
      <c r="E1439" s="59">
        <v>128400</v>
      </c>
      <c r="F1439" s="60"/>
      <c r="G1439" s="61"/>
    </row>
    <row r="1440" spans="1:7" s="62" customFormat="1" ht="12.75" x14ac:dyDescent="0.25">
      <c r="A1440" s="28">
        <f t="shared" si="39"/>
        <v>1367</v>
      </c>
      <c r="B1440" s="53" t="s">
        <v>2350</v>
      </c>
      <c r="C1440" s="110" t="s">
        <v>2351</v>
      </c>
      <c r="D1440" s="28" t="s">
        <v>438</v>
      </c>
      <c r="E1440" s="59">
        <v>513600</v>
      </c>
      <c r="F1440" s="60"/>
      <c r="G1440" s="61"/>
    </row>
    <row r="1441" spans="1:11" s="62" customFormat="1" ht="12.75" x14ac:dyDescent="0.25">
      <c r="A1441" s="28">
        <f t="shared" si="39"/>
        <v>1368</v>
      </c>
      <c r="B1441" s="53" t="s">
        <v>2352</v>
      </c>
      <c r="C1441" s="110" t="s">
        <v>2353</v>
      </c>
      <c r="D1441" s="28" t="s">
        <v>438</v>
      </c>
      <c r="E1441" s="59">
        <v>963000</v>
      </c>
      <c r="F1441" s="60"/>
      <c r="G1441" s="61"/>
    </row>
    <row r="1442" spans="1:11" s="62" customFormat="1" ht="12.75" x14ac:dyDescent="0.25">
      <c r="A1442" s="28">
        <f t="shared" si="39"/>
        <v>1369</v>
      </c>
      <c r="B1442" s="53" t="s">
        <v>2354</v>
      </c>
      <c r="C1442" s="110" t="s">
        <v>2355</v>
      </c>
      <c r="D1442" s="28" t="s">
        <v>438</v>
      </c>
      <c r="E1442" s="59">
        <v>128400</v>
      </c>
      <c r="F1442" s="60"/>
      <c r="G1442" s="61"/>
      <c r="H1442" s="77"/>
      <c r="I1442" s="77"/>
      <c r="J1442" s="77"/>
    </row>
    <row r="1443" spans="1:11" s="62" customFormat="1" ht="25.5" x14ac:dyDescent="0.25">
      <c r="A1443" s="28">
        <f t="shared" si="39"/>
        <v>1370</v>
      </c>
      <c r="B1443" s="53" t="s">
        <v>2356</v>
      </c>
      <c r="C1443" s="110" t="s">
        <v>2357</v>
      </c>
      <c r="D1443" s="28" t="s">
        <v>438</v>
      </c>
      <c r="E1443" s="59">
        <v>192600</v>
      </c>
      <c r="F1443" s="60"/>
      <c r="G1443" s="61"/>
      <c r="H1443" s="77"/>
      <c r="I1443" s="77"/>
      <c r="J1443" s="77"/>
    </row>
    <row r="1444" spans="1:11" s="62" customFormat="1" ht="51" x14ac:dyDescent="0.25">
      <c r="A1444" s="28">
        <f t="shared" si="39"/>
        <v>1371</v>
      </c>
      <c r="B1444" s="53" t="s">
        <v>2358</v>
      </c>
      <c r="C1444" s="110" t="s">
        <v>2359</v>
      </c>
      <c r="D1444" s="28" t="s">
        <v>438</v>
      </c>
      <c r="E1444" s="59">
        <v>192600</v>
      </c>
      <c r="F1444" s="60"/>
      <c r="G1444" s="61"/>
      <c r="H1444" s="77"/>
      <c r="I1444" s="77"/>
      <c r="J1444" s="77"/>
    </row>
    <row r="1445" spans="1:11" s="62" customFormat="1" ht="12.75" x14ac:dyDescent="0.25">
      <c r="A1445" s="28">
        <f t="shared" si="39"/>
        <v>1372</v>
      </c>
      <c r="B1445" s="53" t="s">
        <v>2360</v>
      </c>
      <c r="C1445" s="110" t="s">
        <v>2361</v>
      </c>
      <c r="D1445" s="28" t="s">
        <v>438</v>
      </c>
      <c r="E1445" s="59">
        <v>417360</v>
      </c>
      <c r="F1445" s="60"/>
      <c r="G1445" s="61"/>
      <c r="H1445" s="77"/>
      <c r="I1445" s="77"/>
      <c r="J1445" s="77"/>
    </row>
    <row r="1446" spans="1:11" s="62" customFormat="1" ht="12.75" x14ac:dyDescent="0.25">
      <c r="A1446" s="28">
        <f t="shared" si="39"/>
        <v>1373</v>
      </c>
      <c r="B1446" s="81" t="s">
        <v>2362</v>
      </c>
      <c r="C1446" s="110" t="s">
        <v>2363</v>
      </c>
      <c r="D1446" s="28" t="s">
        <v>438</v>
      </c>
      <c r="E1446" s="59">
        <v>195240</v>
      </c>
      <c r="F1446" s="60"/>
      <c r="G1446" s="61"/>
      <c r="H1446" s="77"/>
      <c r="I1446" s="77"/>
      <c r="J1446" s="77"/>
    </row>
    <row r="1447" spans="1:11" s="62" customFormat="1" ht="12.75" x14ac:dyDescent="0.25">
      <c r="A1447" s="28">
        <f t="shared" si="39"/>
        <v>1374</v>
      </c>
      <c r="B1447" s="81" t="s">
        <v>2364</v>
      </c>
      <c r="C1447" s="110" t="s">
        <v>2365</v>
      </c>
      <c r="D1447" s="28" t="s">
        <v>438</v>
      </c>
      <c r="E1447" s="59">
        <v>205440</v>
      </c>
      <c r="F1447" s="60"/>
      <c r="G1447" s="61"/>
      <c r="H1447" s="77"/>
      <c r="I1447" s="77"/>
      <c r="J1447" s="77"/>
    </row>
    <row r="1448" spans="1:11" s="62" customFormat="1" ht="25.5" x14ac:dyDescent="0.25">
      <c r="A1448" s="28">
        <f t="shared" si="39"/>
        <v>1375</v>
      </c>
      <c r="B1448" s="81" t="s">
        <v>2366</v>
      </c>
      <c r="C1448" s="110" t="s">
        <v>2367</v>
      </c>
      <c r="D1448" s="28" t="s">
        <v>438</v>
      </c>
      <c r="E1448" s="59">
        <v>189480</v>
      </c>
      <c r="F1448" s="60"/>
      <c r="G1448" s="61"/>
      <c r="H1448" s="77"/>
      <c r="I1448" s="77"/>
      <c r="J1448" s="77"/>
    </row>
    <row r="1449" spans="1:11" s="62" customFormat="1" ht="25.5" x14ac:dyDescent="0.25">
      <c r="A1449" s="28">
        <f t="shared" si="39"/>
        <v>1376</v>
      </c>
      <c r="B1449" s="81" t="s">
        <v>2368</v>
      </c>
      <c r="C1449" s="110" t="s">
        <v>2369</v>
      </c>
      <c r="D1449" s="28" t="s">
        <v>438</v>
      </c>
      <c r="E1449" s="59">
        <v>145200</v>
      </c>
      <c r="F1449" s="60"/>
      <c r="G1449" s="61"/>
      <c r="H1449" s="77"/>
      <c r="I1449" s="77"/>
      <c r="J1449" s="77"/>
    </row>
    <row r="1450" spans="1:11" s="62" customFormat="1" ht="38.25" x14ac:dyDescent="0.25">
      <c r="A1450" s="28">
        <f t="shared" si="39"/>
        <v>1377</v>
      </c>
      <c r="B1450" s="81" t="s">
        <v>2370</v>
      </c>
      <c r="C1450" s="110" t="s">
        <v>2371</v>
      </c>
      <c r="D1450" s="28" t="s">
        <v>438</v>
      </c>
      <c r="E1450" s="59">
        <v>205440</v>
      </c>
      <c r="F1450" s="60"/>
      <c r="G1450" s="61"/>
      <c r="H1450" s="77"/>
      <c r="I1450" s="77"/>
      <c r="J1450" s="77"/>
    </row>
    <row r="1451" spans="1:11" s="62" customFormat="1" ht="25.5" x14ac:dyDescent="0.25">
      <c r="A1451" s="28">
        <f t="shared" si="39"/>
        <v>1378</v>
      </c>
      <c r="B1451" s="81" t="s">
        <v>2372</v>
      </c>
      <c r="C1451" s="110" t="s">
        <v>2373</v>
      </c>
      <c r="D1451" s="28" t="s">
        <v>438</v>
      </c>
      <c r="E1451" s="59">
        <v>205440</v>
      </c>
      <c r="F1451" s="60"/>
      <c r="G1451" s="61"/>
      <c r="H1451" s="77"/>
      <c r="I1451" s="77"/>
      <c r="J1451" s="77"/>
      <c r="K1451" s="77"/>
    </row>
    <row r="1452" spans="1:11" s="77" customFormat="1" ht="12.75" x14ac:dyDescent="0.25">
      <c r="A1452" s="28">
        <f t="shared" si="39"/>
        <v>1379</v>
      </c>
      <c r="B1452" s="81" t="s">
        <v>2374</v>
      </c>
      <c r="C1452" s="110" t="s">
        <v>2375</v>
      </c>
      <c r="D1452" s="59" t="s">
        <v>438</v>
      </c>
      <c r="E1452" s="59">
        <v>62280</v>
      </c>
      <c r="F1452" s="60"/>
      <c r="G1452" s="61"/>
    </row>
    <row r="1453" spans="1:11" s="77" customFormat="1" ht="12.75" x14ac:dyDescent="0.25">
      <c r="A1453" s="28">
        <f t="shared" si="39"/>
        <v>1380</v>
      </c>
      <c r="B1453" s="81" t="s">
        <v>2376</v>
      </c>
      <c r="C1453" s="110" t="s">
        <v>2377</v>
      </c>
      <c r="D1453" s="28" t="s">
        <v>438</v>
      </c>
      <c r="E1453" s="59">
        <v>513600</v>
      </c>
      <c r="F1453" s="60"/>
      <c r="G1453" s="61"/>
    </row>
    <row r="1454" spans="1:11" s="77" customFormat="1" ht="25.5" x14ac:dyDescent="0.25">
      <c r="A1454" s="28">
        <f t="shared" si="39"/>
        <v>1381</v>
      </c>
      <c r="B1454" s="53" t="s">
        <v>2378</v>
      </c>
      <c r="C1454" s="110" t="s">
        <v>2379</v>
      </c>
      <c r="D1454" s="28" t="s">
        <v>438</v>
      </c>
      <c r="E1454" s="59">
        <v>385200</v>
      </c>
      <c r="F1454" s="60"/>
      <c r="G1454" s="61"/>
    </row>
    <row r="1455" spans="1:11" s="77" customFormat="1" ht="25.5" x14ac:dyDescent="0.25">
      <c r="A1455" s="28">
        <f t="shared" si="39"/>
        <v>1382</v>
      </c>
      <c r="B1455" s="53" t="s">
        <v>2380</v>
      </c>
      <c r="C1455" s="110" t="s">
        <v>2381</v>
      </c>
      <c r="D1455" s="28" t="s">
        <v>438</v>
      </c>
      <c r="E1455" s="59">
        <v>449400</v>
      </c>
      <c r="F1455" s="60"/>
      <c r="G1455" s="61"/>
    </row>
    <row r="1456" spans="1:11" s="77" customFormat="1" ht="25.5" x14ac:dyDescent="0.25">
      <c r="A1456" s="28">
        <f t="shared" si="39"/>
        <v>1383</v>
      </c>
      <c r="B1456" s="53" t="s">
        <v>2382</v>
      </c>
      <c r="C1456" s="110" t="s">
        <v>2383</v>
      </c>
      <c r="D1456" s="28" t="s">
        <v>438</v>
      </c>
      <c r="E1456" s="59">
        <v>513600</v>
      </c>
      <c r="F1456" s="60"/>
      <c r="G1456" s="61"/>
    </row>
    <row r="1457" spans="1:10" s="77" customFormat="1" ht="25.5" x14ac:dyDescent="0.25">
      <c r="A1457" s="28">
        <f t="shared" si="39"/>
        <v>1384</v>
      </c>
      <c r="B1457" s="53" t="s">
        <v>2384</v>
      </c>
      <c r="C1457" s="110" t="s">
        <v>2385</v>
      </c>
      <c r="D1457" s="28" t="s">
        <v>438</v>
      </c>
      <c r="E1457" s="59">
        <v>256800</v>
      </c>
      <c r="F1457" s="60"/>
      <c r="G1457" s="61"/>
    </row>
    <row r="1458" spans="1:10" s="77" customFormat="1" ht="25.5" x14ac:dyDescent="0.25">
      <c r="A1458" s="28">
        <f t="shared" si="39"/>
        <v>1385</v>
      </c>
      <c r="B1458" s="53" t="s">
        <v>2386</v>
      </c>
      <c r="C1458" s="110" t="s">
        <v>2387</v>
      </c>
      <c r="D1458" s="28" t="s">
        <v>438</v>
      </c>
      <c r="E1458" s="59">
        <v>321000</v>
      </c>
      <c r="F1458" s="60"/>
      <c r="G1458" s="61"/>
    </row>
    <row r="1459" spans="1:10" s="77" customFormat="1" ht="25.5" x14ac:dyDescent="0.25">
      <c r="A1459" s="28">
        <f t="shared" si="39"/>
        <v>1386</v>
      </c>
      <c r="B1459" s="53" t="s">
        <v>2388</v>
      </c>
      <c r="C1459" s="110" t="s">
        <v>2389</v>
      </c>
      <c r="D1459" s="28" t="s">
        <v>438</v>
      </c>
      <c r="E1459" s="59">
        <v>385200</v>
      </c>
      <c r="F1459" s="60"/>
      <c r="G1459" s="61"/>
    </row>
    <row r="1460" spans="1:10" s="77" customFormat="1" ht="25.5" x14ac:dyDescent="0.25">
      <c r="A1460" s="28">
        <f t="shared" si="39"/>
        <v>1387</v>
      </c>
      <c r="B1460" s="80" t="s">
        <v>2390</v>
      </c>
      <c r="C1460" s="110" t="s">
        <v>2391</v>
      </c>
      <c r="D1460" s="59" t="s">
        <v>438</v>
      </c>
      <c r="E1460" s="59">
        <v>160560</v>
      </c>
      <c r="F1460" s="60"/>
      <c r="G1460" s="61"/>
    </row>
    <row r="1461" spans="1:10" s="77" customFormat="1" ht="12.75" x14ac:dyDescent="0.25">
      <c r="A1461" s="28">
        <f t="shared" si="39"/>
        <v>1388</v>
      </c>
      <c r="B1461" s="53" t="s">
        <v>2392</v>
      </c>
      <c r="C1461" s="110" t="s">
        <v>2393</v>
      </c>
      <c r="D1461" s="28" t="s">
        <v>438</v>
      </c>
      <c r="E1461" s="59">
        <v>417360</v>
      </c>
      <c r="F1461" s="60"/>
      <c r="G1461" s="61"/>
    </row>
    <row r="1462" spans="1:10" s="77" customFormat="1" ht="25.5" x14ac:dyDescent="0.25">
      <c r="A1462" s="28">
        <f t="shared" si="39"/>
        <v>1389</v>
      </c>
      <c r="B1462" s="81" t="s">
        <v>2394</v>
      </c>
      <c r="C1462" s="110" t="s">
        <v>2395</v>
      </c>
      <c r="D1462" s="28" t="s">
        <v>438</v>
      </c>
      <c r="E1462" s="59">
        <v>192600</v>
      </c>
      <c r="F1462" s="60"/>
      <c r="G1462" s="61"/>
    </row>
    <row r="1463" spans="1:10" s="77" customFormat="1" ht="25.5" x14ac:dyDescent="0.25">
      <c r="A1463" s="28">
        <f t="shared" si="39"/>
        <v>1390</v>
      </c>
      <c r="B1463" s="81" t="s">
        <v>2396</v>
      </c>
      <c r="C1463" s="110" t="s">
        <v>2397</v>
      </c>
      <c r="D1463" s="28" t="s">
        <v>438</v>
      </c>
      <c r="E1463" s="59">
        <v>141240</v>
      </c>
      <c r="F1463" s="60"/>
      <c r="G1463" s="61"/>
    </row>
    <row r="1464" spans="1:10" s="77" customFormat="1" ht="12.75" x14ac:dyDescent="0.25">
      <c r="A1464" s="28">
        <f t="shared" si="39"/>
        <v>1391</v>
      </c>
      <c r="B1464" s="53" t="s">
        <v>2398</v>
      </c>
      <c r="C1464" s="110" t="s">
        <v>2399</v>
      </c>
      <c r="D1464" s="28" t="s">
        <v>438</v>
      </c>
      <c r="E1464" s="59">
        <v>115560</v>
      </c>
      <c r="F1464" s="60"/>
      <c r="G1464" s="61"/>
    </row>
    <row r="1465" spans="1:10" s="77" customFormat="1" ht="12.75" x14ac:dyDescent="0.25">
      <c r="A1465" s="28">
        <f t="shared" si="39"/>
        <v>1392</v>
      </c>
      <c r="B1465" s="53" t="s">
        <v>2400</v>
      </c>
      <c r="C1465" s="110" t="s">
        <v>2401</v>
      </c>
      <c r="D1465" s="28" t="s">
        <v>438</v>
      </c>
      <c r="E1465" s="59">
        <v>89880</v>
      </c>
      <c r="F1465" s="60"/>
      <c r="G1465" s="61"/>
    </row>
    <row r="1466" spans="1:10" s="77" customFormat="1" ht="12.75" x14ac:dyDescent="0.25">
      <c r="A1466" s="28">
        <f t="shared" si="39"/>
        <v>1393</v>
      </c>
      <c r="B1466" s="53" t="s">
        <v>2402</v>
      </c>
      <c r="C1466" s="110" t="s">
        <v>2403</v>
      </c>
      <c r="D1466" s="28" t="s">
        <v>438</v>
      </c>
      <c r="E1466" s="59">
        <v>256800</v>
      </c>
      <c r="F1466" s="60"/>
      <c r="G1466" s="61"/>
      <c r="H1466" s="82"/>
      <c r="I1466" s="82"/>
      <c r="J1466" s="82"/>
    </row>
    <row r="1467" spans="1:10" s="77" customFormat="1" ht="12.75" x14ac:dyDescent="0.25">
      <c r="A1467" s="28">
        <f t="shared" si="39"/>
        <v>1394</v>
      </c>
      <c r="B1467" s="53" t="s">
        <v>2404</v>
      </c>
      <c r="C1467" s="110" t="s">
        <v>2405</v>
      </c>
      <c r="D1467" s="28" t="s">
        <v>438</v>
      </c>
      <c r="E1467" s="59">
        <v>128400</v>
      </c>
      <c r="F1467" s="60"/>
      <c r="G1467" s="61"/>
      <c r="H1467" s="62"/>
      <c r="I1467" s="62"/>
      <c r="J1467" s="62"/>
    </row>
    <row r="1468" spans="1:10" s="77" customFormat="1" ht="12.75" x14ac:dyDescent="0.25">
      <c r="A1468" s="28">
        <f t="shared" si="39"/>
        <v>1395</v>
      </c>
      <c r="B1468" s="53" t="s">
        <v>2406</v>
      </c>
      <c r="C1468" s="110" t="s">
        <v>2407</v>
      </c>
      <c r="D1468" s="28" t="s">
        <v>438</v>
      </c>
      <c r="E1468" s="59">
        <v>256800</v>
      </c>
      <c r="F1468" s="60"/>
      <c r="G1468" s="61"/>
      <c r="H1468" s="62"/>
      <c r="I1468" s="62"/>
      <c r="J1468" s="62"/>
    </row>
    <row r="1469" spans="1:10" s="77" customFormat="1" ht="12.75" x14ac:dyDescent="0.25">
      <c r="A1469" s="28">
        <f t="shared" si="39"/>
        <v>1396</v>
      </c>
      <c r="B1469" s="81" t="s">
        <v>2408</v>
      </c>
      <c r="C1469" s="110" t="s">
        <v>2409</v>
      </c>
      <c r="D1469" s="28" t="s">
        <v>438</v>
      </c>
      <c r="E1469" s="59">
        <v>156720</v>
      </c>
      <c r="F1469" s="60"/>
      <c r="G1469" s="61"/>
      <c r="H1469" s="62"/>
      <c r="I1469" s="62"/>
      <c r="J1469" s="62"/>
    </row>
    <row r="1470" spans="1:10" s="77" customFormat="1" ht="12.75" x14ac:dyDescent="0.25">
      <c r="A1470" s="28">
        <f t="shared" si="39"/>
        <v>1397</v>
      </c>
      <c r="B1470" s="81" t="s">
        <v>2410</v>
      </c>
      <c r="C1470" s="110" t="s">
        <v>2411</v>
      </c>
      <c r="D1470" s="28" t="s">
        <v>438</v>
      </c>
      <c r="E1470" s="59">
        <v>166920</v>
      </c>
      <c r="F1470" s="60"/>
      <c r="G1470" s="61"/>
      <c r="H1470" s="62"/>
      <c r="I1470" s="62"/>
      <c r="J1470" s="62"/>
    </row>
    <row r="1471" spans="1:10" s="77" customFormat="1" ht="12.75" x14ac:dyDescent="0.25">
      <c r="A1471" s="28">
        <f t="shared" si="39"/>
        <v>1398</v>
      </c>
      <c r="B1471" s="53" t="s">
        <v>2412</v>
      </c>
      <c r="C1471" s="110" t="s">
        <v>2413</v>
      </c>
      <c r="D1471" s="28" t="s">
        <v>438</v>
      </c>
      <c r="E1471" s="59">
        <v>256800</v>
      </c>
      <c r="F1471" s="60"/>
      <c r="G1471" s="61"/>
      <c r="H1471" s="62"/>
      <c r="I1471" s="62"/>
      <c r="J1471" s="62"/>
    </row>
    <row r="1472" spans="1:10" s="77" customFormat="1" ht="25.5" x14ac:dyDescent="0.25">
      <c r="A1472" s="28">
        <f t="shared" si="39"/>
        <v>1399</v>
      </c>
      <c r="B1472" s="53" t="s">
        <v>2414</v>
      </c>
      <c r="C1472" s="110" t="s">
        <v>2415</v>
      </c>
      <c r="D1472" s="28" t="s">
        <v>438</v>
      </c>
      <c r="E1472" s="59">
        <v>256800</v>
      </c>
      <c r="F1472" s="60"/>
      <c r="G1472" s="61"/>
      <c r="H1472" s="62"/>
      <c r="I1472" s="62"/>
      <c r="J1472" s="62"/>
    </row>
    <row r="1473" spans="1:11" s="77" customFormat="1" ht="12.75" x14ac:dyDescent="0.25">
      <c r="A1473" s="28">
        <f t="shared" si="39"/>
        <v>1400</v>
      </c>
      <c r="B1473" s="81" t="s">
        <v>2416</v>
      </c>
      <c r="C1473" s="110" t="s">
        <v>2417</v>
      </c>
      <c r="D1473" s="28" t="s">
        <v>438</v>
      </c>
      <c r="E1473" s="59">
        <v>256800</v>
      </c>
      <c r="F1473" s="60"/>
      <c r="G1473" s="61"/>
      <c r="H1473" s="62"/>
      <c r="I1473" s="62"/>
      <c r="J1473" s="62"/>
    </row>
    <row r="1474" spans="1:11" s="77" customFormat="1" ht="12.75" x14ac:dyDescent="0.25">
      <c r="A1474" s="28">
        <f t="shared" si="39"/>
        <v>1401</v>
      </c>
      <c r="B1474" s="83" t="s">
        <v>2418</v>
      </c>
      <c r="C1474" s="110" t="s">
        <v>2419</v>
      </c>
      <c r="D1474" s="59" t="s">
        <v>438</v>
      </c>
      <c r="E1474" s="59">
        <v>199080</v>
      </c>
      <c r="F1474" s="60"/>
      <c r="G1474" s="61"/>
      <c r="H1474" s="62"/>
      <c r="I1474" s="62"/>
      <c r="J1474" s="62"/>
    </row>
    <row r="1475" spans="1:11" s="77" customFormat="1" ht="12.75" x14ac:dyDescent="0.25">
      <c r="A1475" s="28">
        <f t="shared" si="39"/>
        <v>1402</v>
      </c>
      <c r="B1475" s="81" t="s">
        <v>2420</v>
      </c>
      <c r="C1475" s="110" t="s">
        <v>2421</v>
      </c>
      <c r="D1475" s="28" t="s">
        <v>356</v>
      </c>
      <c r="E1475" s="59">
        <v>23400</v>
      </c>
      <c r="F1475" s="60"/>
      <c r="G1475" s="61"/>
      <c r="H1475" s="62"/>
      <c r="I1475" s="62"/>
      <c r="J1475" s="62"/>
      <c r="K1475" s="82"/>
    </row>
    <row r="1476" spans="1:11" s="82" customFormat="1" ht="12.75" x14ac:dyDescent="0.25">
      <c r="A1476" s="28">
        <f t="shared" si="39"/>
        <v>1403</v>
      </c>
      <c r="B1476" s="81" t="s">
        <v>2422</v>
      </c>
      <c r="C1476" s="110" t="s">
        <v>2423</v>
      </c>
      <c r="D1476" s="28" t="s">
        <v>438</v>
      </c>
      <c r="E1476" s="59">
        <v>192600</v>
      </c>
      <c r="F1476" s="60"/>
      <c r="G1476" s="61"/>
      <c r="H1476" s="77"/>
      <c r="I1476" s="77"/>
      <c r="J1476" s="77"/>
      <c r="K1476" s="62"/>
    </row>
    <row r="1477" spans="1:11" s="62" customFormat="1" ht="12.75" x14ac:dyDescent="0.25">
      <c r="A1477" s="28">
        <f t="shared" si="39"/>
        <v>1404</v>
      </c>
      <c r="B1477" s="81" t="s">
        <v>2424</v>
      </c>
      <c r="C1477" s="110" t="s">
        <v>2425</v>
      </c>
      <c r="D1477" s="28" t="s">
        <v>438</v>
      </c>
      <c r="E1477" s="59">
        <v>513600</v>
      </c>
      <c r="F1477" s="60"/>
      <c r="G1477" s="61"/>
      <c r="H1477" s="77"/>
      <c r="I1477" s="77"/>
      <c r="J1477" s="77"/>
    </row>
    <row r="1478" spans="1:11" s="62" customFormat="1" ht="25.5" x14ac:dyDescent="0.25">
      <c r="A1478" s="28">
        <f t="shared" si="39"/>
        <v>1405</v>
      </c>
      <c r="B1478" s="53" t="s">
        <v>2426</v>
      </c>
      <c r="C1478" s="110" t="s">
        <v>2427</v>
      </c>
      <c r="D1478" s="28" t="s">
        <v>438</v>
      </c>
      <c r="E1478" s="59">
        <v>513600</v>
      </c>
      <c r="F1478" s="60"/>
      <c r="G1478" s="61"/>
      <c r="H1478" s="77"/>
      <c r="I1478" s="77"/>
      <c r="J1478" s="77"/>
    </row>
    <row r="1479" spans="1:11" s="62" customFormat="1" ht="12.75" x14ac:dyDescent="0.25">
      <c r="A1479" s="28">
        <f t="shared" si="39"/>
        <v>1406</v>
      </c>
      <c r="B1479" s="53" t="s">
        <v>2428</v>
      </c>
      <c r="C1479" s="110" t="s">
        <v>2429</v>
      </c>
      <c r="D1479" s="28" t="s">
        <v>438</v>
      </c>
      <c r="E1479" s="59">
        <v>513600</v>
      </c>
      <c r="F1479" s="60"/>
      <c r="G1479" s="61"/>
      <c r="H1479" s="77"/>
      <c r="I1479" s="77"/>
      <c r="J1479" s="77"/>
    </row>
    <row r="1480" spans="1:11" s="62" customFormat="1" ht="12.75" x14ac:dyDescent="0.25">
      <c r="A1480" s="28">
        <f t="shared" si="39"/>
        <v>1407</v>
      </c>
      <c r="B1480" s="53" t="s">
        <v>2430</v>
      </c>
      <c r="C1480" s="110" t="s">
        <v>2431</v>
      </c>
      <c r="D1480" s="28" t="s">
        <v>438</v>
      </c>
      <c r="E1480" s="59">
        <v>417360</v>
      </c>
      <c r="F1480" s="60"/>
      <c r="G1480" s="61"/>
      <c r="H1480" s="77"/>
      <c r="I1480" s="77"/>
      <c r="J1480" s="77"/>
    </row>
    <row r="1481" spans="1:11" s="62" customFormat="1" ht="25.5" x14ac:dyDescent="0.25">
      <c r="A1481" s="28">
        <f t="shared" si="39"/>
        <v>1408</v>
      </c>
      <c r="B1481" s="81" t="s">
        <v>2432</v>
      </c>
      <c r="C1481" s="110" t="s">
        <v>2433</v>
      </c>
      <c r="D1481" s="28" t="s">
        <v>438</v>
      </c>
      <c r="E1481" s="59">
        <v>115680</v>
      </c>
      <c r="F1481" s="60"/>
      <c r="G1481" s="61"/>
      <c r="H1481" s="77"/>
      <c r="I1481" s="77"/>
      <c r="J1481" s="77"/>
    </row>
    <row r="1482" spans="1:11" s="62" customFormat="1" ht="38.25" x14ac:dyDescent="0.25">
      <c r="A1482" s="28">
        <f t="shared" si="39"/>
        <v>1409</v>
      </c>
      <c r="B1482" s="80" t="s">
        <v>2434</v>
      </c>
      <c r="C1482" s="110" t="s">
        <v>2435</v>
      </c>
      <c r="D1482" s="59" t="s">
        <v>438</v>
      </c>
      <c r="E1482" s="59">
        <v>199080</v>
      </c>
      <c r="F1482" s="60"/>
      <c r="G1482" s="61"/>
      <c r="H1482" s="77"/>
      <c r="I1482" s="77"/>
      <c r="J1482" s="77"/>
    </row>
    <row r="1483" spans="1:11" s="62" customFormat="1" ht="25.5" x14ac:dyDescent="0.25">
      <c r="A1483" s="28">
        <f t="shared" si="39"/>
        <v>1410</v>
      </c>
      <c r="B1483" s="53" t="s">
        <v>2436</v>
      </c>
      <c r="C1483" s="110" t="s">
        <v>2437</v>
      </c>
      <c r="D1483" s="28" t="s">
        <v>438</v>
      </c>
      <c r="E1483" s="59">
        <v>115560</v>
      </c>
      <c r="F1483" s="60"/>
      <c r="G1483" s="61"/>
      <c r="H1483" s="63"/>
      <c r="I1483" s="63"/>
      <c r="J1483" s="63"/>
    </row>
    <row r="1484" spans="1:11" s="62" customFormat="1" ht="12.75" x14ac:dyDescent="0.25">
      <c r="A1484" s="28">
        <f t="shared" si="39"/>
        <v>1411</v>
      </c>
      <c r="B1484" s="53" t="s">
        <v>2438</v>
      </c>
      <c r="C1484" s="110" t="s">
        <v>2439</v>
      </c>
      <c r="D1484" s="28" t="s">
        <v>438</v>
      </c>
      <c r="E1484" s="59">
        <v>526440</v>
      </c>
      <c r="F1484" s="60"/>
      <c r="G1484" s="61"/>
      <c r="H1484" s="63"/>
      <c r="I1484" s="63"/>
      <c r="J1484" s="63"/>
    </row>
    <row r="1485" spans="1:11" s="62" customFormat="1" ht="25.5" x14ac:dyDescent="0.25">
      <c r="A1485" s="28">
        <f t="shared" si="39"/>
        <v>1412</v>
      </c>
      <c r="B1485" s="84" t="s">
        <v>2440</v>
      </c>
      <c r="C1485" s="110" t="s">
        <v>2441</v>
      </c>
      <c r="D1485" s="59" t="s">
        <v>438</v>
      </c>
      <c r="E1485" s="59">
        <v>186240</v>
      </c>
      <c r="F1485" s="60"/>
      <c r="G1485" s="61"/>
      <c r="H1485" s="82"/>
      <c r="I1485" s="82"/>
      <c r="J1485" s="82"/>
      <c r="K1485" s="77"/>
    </row>
    <row r="1486" spans="1:11" s="77" customFormat="1" ht="12.75" x14ac:dyDescent="0.25">
      <c r="A1486" s="28">
        <f t="shared" si="39"/>
        <v>1413</v>
      </c>
      <c r="B1486" s="81" t="s">
        <v>2442</v>
      </c>
      <c r="C1486" s="110" t="s">
        <v>2443</v>
      </c>
      <c r="D1486" s="28" t="s">
        <v>438</v>
      </c>
      <c r="E1486" s="59">
        <v>513720</v>
      </c>
      <c r="F1486" s="60"/>
      <c r="G1486" s="61"/>
      <c r="H1486" s="82"/>
      <c r="I1486" s="82"/>
      <c r="J1486" s="82"/>
    </row>
    <row r="1487" spans="1:11" s="77" customFormat="1" ht="12.75" x14ac:dyDescent="0.25">
      <c r="A1487" s="28">
        <f t="shared" si="39"/>
        <v>1414</v>
      </c>
      <c r="B1487" s="53" t="s">
        <v>2444</v>
      </c>
      <c r="C1487" s="110" t="s">
        <v>2445</v>
      </c>
      <c r="D1487" s="28" t="s">
        <v>438</v>
      </c>
      <c r="E1487" s="59">
        <v>417360</v>
      </c>
      <c r="F1487" s="60"/>
      <c r="G1487" s="61"/>
      <c r="H1487" s="62"/>
      <c r="I1487" s="62"/>
      <c r="J1487" s="62"/>
    </row>
    <row r="1488" spans="1:11" s="77" customFormat="1" ht="12.75" x14ac:dyDescent="0.25">
      <c r="A1488" s="28">
        <f t="shared" si="39"/>
        <v>1415</v>
      </c>
      <c r="B1488" s="53" t="s">
        <v>2446</v>
      </c>
      <c r="C1488" s="110" t="s">
        <v>2447</v>
      </c>
      <c r="D1488" s="28" t="s">
        <v>438</v>
      </c>
      <c r="E1488" s="59">
        <v>417360</v>
      </c>
      <c r="F1488" s="60"/>
      <c r="G1488" s="61"/>
      <c r="H1488" s="62"/>
      <c r="I1488" s="62"/>
      <c r="J1488" s="62"/>
    </row>
    <row r="1489" spans="1:11" s="77" customFormat="1" ht="25.5" x14ac:dyDescent="0.25">
      <c r="A1489" s="28">
        <f t="shared" si="39"/>
        <v>1416</v>
      </c>
      <c r="B1489" s="53" t="s">
        <v>2448</v>
      </c>
      <c r="C1489" s="110" t="s">
        <v>2449</v>
      </c>
      <c r="D1489" s="28" t="s">
        <v>438</v>
      </c>
      <c r="E1489" s="59">
        <v>64200</v>
      </c>
      <c r="F1489" s="60"/>
      <c r="G1489" s="61"/>
      <c r="H1489" s="82"/>
      <c r="I1489" s="82"/>
      <c r="J1489" s="82"/>
    </row>
    <row r="1490" spans="1:11" s="77" customFormat="1" ht="25.5" x14ac:dyDescent="0.25">
      <c r="A1490" s="28">
        <f t="shared" si="39"/>
        <v>1417</v>
      </c>
      <c r="B1490" s="53" t="s">
        <v>2450</v>
      </c>
      <c r="C1490" s="110" t="s">
        <v>2451</v>
      </c>
      <c r="D1490" s="28" t="s">
        <v>438</v>
      </c>
      <c r="E1490" s="59">
        <v>102720</v>
      </c>
      <c r="F1490" s="60"/>
      <c r="G1490" s="61"/>
      <c r="H1490" s="62"/>
      <c r="I1490" s="62"/>
      <c r="J1490" s="62"/>
    </row>
    <row r="1491" spans="1:11" s="77" customFormat="1" ht="25.5" x14ac:dyDescent="0.25">
      <c r="A1491" s="28">
        <f t="shared" si="39"/>
        <v>1418</v>
      </c>
      <c r="B1491" s="53" t="s">
        <v>2452</v>
      </c>
      <c r="C1491" s="110" t="s">
        <v>2453</v>
      </c>
      <c r="D1491" s="28" t="s">
        <v>438</v>
      </c>
      <c r="E1491" s="59">
        <v>128400</v>
      </c>
      <c r="F1491" s="60"/>
      <c r="G1491" s="61"/>
      <c r="H1491" s="62"/>
      <c r="I1491" s="62"/>
      <c r="J1491" s="62"/>
    </row>
    <row r="1492" spans="1:11" s="77" customFormat="1" ht="33.75" customHeight="1" x14ac:dyDescent="0.25">
      <c r="A1492" s="28">
        <f t="shared" si="39"/>
        <v>1419</v>
      </c>
      <c r="B1492" s="84" t="s">
        <v>2454</v>
      </c>
      <c r="C1492" s="110" t="s">
        <v>2455</v>
      </c>
      <c r="D1492" s="59" t="s">
        <v>438</v>
      </c>
      <c r="E1492" s="59">
        <v>196560</v>
      </c>
      <c r="F1492" s="60"/>
      <c r="G1492" s="61"/>
      <c r="H1492" s="62"/>
      <c r="I1492" s="62"/>
      <c r="J1492" s="62"/>
      <c r="K1492" s="63"/>
    </row>
    <row r="1493" spans="1:11" s="63" customFormat="1" ht="18.75" customHeight="1" x14ac:dyDescent="0.25">
      <c r="A1493" s="28">
        <f t="shared" si="39"/>
        <v>1420</v>
      </c>
      <c r="B1493" s="81" t="s">
        <v>2456</v>
      </c>
      <c r="C1493" s="110" t="s">
        <v>2457</v>
      </c>
      <c r="D1493" s="28" t="s">
        <v>438</v>
      </c>
      <c r="E1493" s="59">
        <v>282480</v>
      </c>
      <c r="F1493" s="60"/>
      <c r="G1493" s="61"/>
    </row>
    <row r="1494" spans="1:11" s="63" customFormat="1" ht="18.75" customHeight="1" x14ac:dyDescent="0.25">
      <c r="A1494" s="28">
        <f t="shared" si="39"/>
        <v>1421</v>
      </c>
      <c r="B1494" s="81" t="s">
        <v>2458</v>
      </c>
      <c r="C1494" s="110" t="s">
        <v>2459</v>
      </c>
      <c r="D1494" s="28" t="s">
        <v>438</v>
      </c>
      <c r="E1494" s="59">
        <v>398040</v>
      </c>
      <c r="F1494" s="60"/>
      <c r="G1494" s="61"/>
      <c r="H1494" s="82"/>
      <c r="I1494" s="82"/>
      <c r="J1494" s="82"/>
      <c r="K1494" s="82"/>
    </row>
    <row r="1495" spans="1:11" s="82" customFormat="1" ht="31.5" customHeight="1" x14ac:dyDescent="0.25">
      <c r="A1495" s="28">
        <f t="shared" si="39"/>
        <v>1422</v>
      </c>
      <c r="B1495" s="84" t="s">
        <v>2460</v>
      </c>
      <c r="C1495" s="110" t="s">
        <v>2461</v>
      </c>
      <c r="D1495" s="59" t="s">
        <v>438</v>
      </c>
      <c r="E1495" s="59">
        <v>186240</v>
      </c>
      <c r="F1495" s="60"/>
      <c r="G1495" s="61"/>
    </row>
    <row r="1496" spans="1:11" s="82" customFormat="1" ht="31.5" customHeight="1" x14ac:dyDescent="0.25">
      <c r="A1496" s="28">
        <f t="shared" si="39"/>
        <v>1423</v>
      </c>
      <c r="B1496" s="80" t="s">
        <v>2462</v>
      </c>
      <c r="C1496" s="110" t="s">
        <v>2463</v>
      </c>
      <c r="D1496" s="28" t="s">
        <v>438</v>
      </c>
      <c r="E1496" s="59">
        <v>1669200</v>
      </c>
      <c r="F1496" s="60"/>
      <c r="G1496" s="61"/>
      <c r="K1496" s="62"/>
    </row>
    <row r="1497" spans="1:11" s="62" customFormat="1" ht="21.75" customHeight="1" x14ac:dyDescent="0.25">
      <c r="A1497" s="28">
        <f t="shared" si="39"/>
        <v>1424</v>
      </c>
      <c r="B1497" s="81" t="s">
        <v>2464</v>
      </c>
      <c r="C1497" s="110" t="s">
        <v>2465</v>
      </c>
      <c r="D1497" s="28" t="s">
        <v>438</v>
      </c>
      <c r="E1497" s="59">
        <v>642000</v>
      </c>
      <c r="F1497" s="60"/>
      <c r="G1497" s="61"/>
    </row>
    <row r="1498" spans="1:11" s="62" customFormat="1" ht="34.5" customHeight="1" x14ac:dyDescent="0.25">
      <c r="A1498" s="28">
        <f t="shared" si="39"/>
        <v>1425</v>
      </c>
      <c r="B1498" s="53" t="s">
        <v>2466</v>
      </c>
      <c r="C1498" s="110" t="s">
        <v>2467</v>
      </c>
      <c r="D1498" s="28" t="s">
        <v>438</v>
      </c>
      <c r="E1498" s="59">
        <v>321000</v>
      </c>
      <c r="F1498" s="60"/>
      <c r="G1498" s="61"/>
      <c r="K1498" s="82"/>
    </row>
    <row r="1499" spans="1:11" s="82" customFormat="1" ht="34.5" customHeight="1" x14ac:dyDescent="0.25">
      <c r="A1499" s="28">
        <f t="shared" ref="A1499:A1501" si="40">A1498+1</f>
        <v>1426</v>
      </c>
      <c r="B1499" s="81" t="s">
        <v>3082</v>
      </c>
      <c r="C1499" s="110" t="s">
        <v>2468</v>
      </c>
      <c r="D1499" s="28" t="s">
        <v>438</v>
      </c>
      <c r="E1499" s="59">
        <v>398040</v>
      </c>
      <c r="F1499" s="60"/>
      <c r="G1499" s="61"/>
      <c r="H1499" s="62"/>
      <c r="I1499" s="62"/>
      <c r="J1499" s="62"/>
      <c r="K1499" s="62"/>
    </row>
    <row r="1500" spans="1:11" s="62" customFormat="1" ht="18.75" customHeight="1" x14ac:dyDescent="0.25">
      <c r="A1500" s="28">
        <f t="shared" si="40"/>
        <v>1427</v>
      </c>
      <c r="B1500" s="81" t="s">
        <v>2469</v>
      </c>
      <c r="C1500" s="110" t="s">
        <v>2470</v>
      </c>
      <c r="D1500" s="28" t="s">
        <v>438</v>
      </c>
      <c r="E1500" s="59">
        <v>256800</v>
      </c>
      <c r="F1500" s="60"/>
      <c r="G1500" s="61"/>
    </row>
    <row r="1501" spans="1:11" s="62" customFormat="1" ht="25.5" x14ac:dyDescent="0.25">
      <c r="A1501" s="28">
        <f t="shared" si="40"/>
        <v>1428</v>
      </c>
      <c r="B1501" s="53" t="s">
        <v>2471</v>
      </c>
      <c r="C1501" s="110" t="s">
        <v>2472</v>
      </c>
      <c r="D1501" s="28" t="s">
        <v>438</v>
      </c>
      <c r="E1501" s="59">
        <v>321000</v>
      </c>
      <c r="F1501" s="60"/>
      <c r="G1501" s="61"/>
    </row>
    <row r="1502" spans="1:11" s="62" customFormat="1" ht="25.5" x14ac:dyDescent="0.25">
      <c r="A1502" s="28">
        <f>A1501+1</f>
        <v>1429</v>
      </c>
      <c r="B1502" s="53" t="s">
        <v>2473</v>
      </c>
      <c r="C1502" s="110" t="s">
        <v>2474</v>
      </c>
      <c r="D1502" s="28" t="s">
        <v>438</v>
      </c>
      <c r="E1502" s="59">
        <v>577800</v>
      </c>
      <c r="F1502" s="60"/>
      <c r="G1502" s="61"/>
      <c r="K1502" s="63"/>
    </row>
    <row r="1503" spans="1:11" s="63" customFormat="1" ht="12.75" x14ac:dyDescent="0.25">
      <c r="A1503" s="28">
        <f>A1502+1</f>
        <v>1430</v>
      </c>
      <c r="B1503" s="53" t="s">
        <v>2475</v>
      </c>
      <c r="C1503" s="110" t="s">
        <v>2476</v>
      </c>
      <c r="D1503" s="28" t="s">
        <v>438</v>
      </c>
      <c r="E1503" s="59">
        <v>398040</v>
      </c>
      <c r="F1503" s="60"/>
      <c r="G1503" s="61"/>
      <c r="H1503" s="62"/>
      <c r="I1503" s="62"/>
      <c r="J1503" s="62"/>
      <c r="K1503" s="82"/>
    </row>
    <row r="1504" spans="1:11" s="82" customFormat="1" ht="12.75" x14ac:dyDescent="0.25">
      <c r="A1504" s="28">
        <f>A1503+1</f>
        <v>1431</v>
      </c>
      <c r="B1504" s="53" t="s">
        <v>2477</v>
      </c>
      <c r="C1504" s="110" t="s">
        <v>2478</v>
      </c>
      <c r="D1504" s="28" t="s">
        <v>438</v>
      </c>
      <c r="E1504" s="59">
        <v>96360</v>
      </c>
      <c r="F1504" s="60"/>
      <c r="G1504" s="61"/>
      <c r="H1504" s="62"/>
      <c r="I1504" s="62"/>
      <c r="J1504" s="62"/>
    </row>
    <row r="1505" spans="1:11" s="82" customFormat="1" ht="12.75" x14ac:dyDescent="0.25">
      <c r="A1505" s="28">
        <f>A1504+1</f>
        <v>1432</v>
      </c>
      <c r="B1505" s="81" t="s">
        <v>2479</v>
      </c>
      <c r="C1505" s="110" t="s">
        <v>2480</v>
      </c>
      <c r="D1505" s="59" t="s">
        <v>438</v>
      </c>
      <c r="E1505" s="59">
        <v>256800</v>
      </c>
      <c r="F1505" s="60"/>
      <c r="G1505" s="61"/>
      <c r="H1505" s="62"/>
      <c r="I1505" s="62"/>
      <c r="J1505" s="62"/>
    </row>
    <row r="1506" spans="1:11" s="82" customFormat="1" ht="12.75" x14ac:dyDescent="0.25">
      <c r="A1506" s="28">
        <f>A1505+1</f>
        <v>1433</v>
      </c>
      <c r="B1506" s="81" t="s">
        <v>2481</v>
      </c>
      <c r="C1506" s="110" t="s">
        <v>2482</v>
      </c>
      <c r="D1506" s="28" t="s">
        <v>438</v>
      </c>
      <c r="E1506" s="59">
        <v>385200</v>
      </c>
      <c r="F1506" s="60"/>
      <c r="G1506" s="61"/>
      <c r="K1506" s="62"/>
    </row>
    <row r="1507" spans="1:11" s="62" customFormat="1" ht="18.75" customHeight="1" x14ac:dyDescent="0.25">
      <c r="A1507" s="147" t="s">
        <v>2483</v>
      </c>
      <c r="B1507" s="148"/>
      <c r="C1507" s="148"/>
      <c r="D1507" s="148"/>
      <c r="E1507" s="149"/>
      <c r="F1507" s="60"/>
      <c r="G1507" s="61"/>
      <c r="H1507" s="82"/>
      <c r="I1507" s="82"/>
      <c r="J1507" s="82"/>
    </row>
    <row r="1508" spans="1:11" s="62" customFormat="1" ht="12.75" x14ac:dyDescent="0.25">
      <c r="A1508" s="28">
        <f>A1506+1</f>
        <v>1434</v>
      </c>
      <c r="B1508" s="29" t="s">
        <v>658</v>
      </c>
      <c r="C1508" s="29" t="s">
        <v>659</v>
      </c>
      <c r="D1508" s="48" t="s">
        <v>438</v>
      </c>
      <c r="E1508" s="59">
        <v>179760</v>
      </c>
      <c r="F1508" s="60"/>
      <c r="G1508" s="61"/>
    </row>
    <row r="1509" spans="1:11" s="62" customFormat="1" ht="12.75" x14ac:dyDescent="0.25">
      <c r="A1509" s="28">
        <f>A1508+1</f>
        <v>1435</v>
      </c>
      <c r="B1509" s="29" t="s">
        <v>660</v>
      </c>
      <c r="C1509" s="29" t="s">
        <v>661</v>
      </c>
      <c r="D1509" s="48" t="s">
        <v>438</v>
      </c>
      <c r="E1509" s="59">
        <v>218280</v>
      </c>
      <c r="F1509" s="60"/>
      <c r="G1509" s="61"/>
      <c r="H1509" s="82"/>
      <c r="I1509" s="82"/>
      <c r="J1509" s="82"/>
    </row>
    <row r="1510" spans="1:11" s="62" customFormat="1" ht="12.75" x14ac:dyDescent="0.25">
      <c r="A1510" s="28">
        <f t="shared" ref="A1510:A1527" si="41">A1509+1</f>
        <v>1436</v>
      </c>
      <c r="B1510" s="29" t="s">
        <v>2484</v>
      </c>
      <c r="C1510" s="29" t="s">
        <v>2485</v>
      </c>
      <c r="D1510" s="48" t="s">
        <v>438</v>
      </c>
      <c r="E1510" s="59">
        <v>105960</v>
      </c>
      <c r="F1510" s="60"/>
      <c r="G1510" s="61"/>
      <c r="H1510" s="82"/>
      <c r="I1510" s="82"/>
      <c r="J1510" s="82"/>
    </row>
    <row r="1511" spans="1:11" s="62" customFormat="1" ht="12.75" x14ac:dyDescent="0.25">
      <c r="A1511" s="28">
        <f t="shared" si="41"/>
        <v>1437</v>
      </c>
      <c r="B1511" s="29" t="s">
        <v>2486</v>
      </c>
      <c r="C1511" s="29" t="s">
        <v>2487</v>
      </c>
      <c r="D1511" s="48" t="s">
        <v>438</v>
      </c>
      <c r="E1511" s="59">
        <v>141240</v>
      </c>
      <c r="F1511" s="60"/>
      <c r="G1511" s="61"/>
      <c r="H1511" s="82"/>
      <c r="I1511" s="82"/>
      <c r="J1511" s="82"/>
    </row>
    <row r="1512" spans="1:11" s="62" customFormat="1" ht="53.25" customHeight="1" x14ac:dyDescent="0.25">
      <c r="A1512" s="28">
        <f t="shared" si="41"/>
        <v>1438</v>
      </c>
      <c r="B1512" s="85" t="s">
        <v>2488</v>
      </c>
      <c r="C1512" s="85" t="s">
        <v>2489</v>
      </c>
      <c r="D1512" s="48" t="s">
        <v>438</v>
      </c>
      <c r="E1512" s="59">
        <v>97680</v>
      </c>
      <c r="F1512" s="60"/>
      <c r="G1512" s="61"/>
    </row>
    <row r="1513" spans="1:11" s="62" customFormat="1" ht="12.75" x14ac:dyDescent="0.25">
      <c r="A1513" s="28">
        <f t="shared" si="41"/>
        <v>1439</v>
      </c>
      <c r="B1513" s="29" t="s">
        <v>666</v>
      </c>
      <c r="C1513" s="29" t="s">
        <v>667</v>
      </c>
      <c r="D1513" s="48" t="s">
        <v>438</v>
      </c>
      <c r="E1513" s="59">
        <v>231120</v>
      </c>
      <c r="F1513" s="60"/>
      <c r="G1513" s="61"/>
      <c r="H1513" s="82"/>
      <c r="I1513" s="82"/>
      <c r="J1513" s="82"/>
    </row>
    <row r="1514" spans="1:11" s="62" customFormat="1" ht="12.75" x14ac:dyDescent="0.25">
      <c r="A1514" s="28">
        <f t="shared" si="41"/>
        <v>1440</v>
      </c>
      <c r="B1514" s="29" t="s">
        <v>2490</v>
      </c>
      <c r="C1514" s="29" t="s">
        <v>2491</v>
      </c>
      <c r="D1514" s="48" t="s">
        <v>438</v>
      </c>
      <c r="E1514" s="59">
        <v>449400</v>
      </c>
      <c r="F1514" s="60"/>
      <c r="G1514" s="61"/>
      <c r="H1514" s="82"/>
      <c r="I1514" s="82"/>
      <c r="J1514" s="82"/>
    </row>
    <row r="1515" spans="1:11" s="62" customFormat="1" ht="12.75" x14ac:dyDescent="0.25">
      <c r="A1515" s="28">
        <f t="shared" si="41"/>
        <v>1441</v>
      </c>
      <c r="B1515" s="29" t="s">
        <v>2492</v>
      </c>
      <c r="C1515" s="29" t="s">
        <v>2493</v>
      </c>
      <c r="D1515" s="48" t="s">
        <v>438</v>
      </c>
      <c r="E1515" s="59">
        <v>513600</v>
      </c>
      <c r="F1515" s="60"/>
      <c r="G1515" s="61"/>
      <c r="H1515" s="82"/>
      <c r="I1515" s="82"/>
      <c r="J1515" s="82"/>
      <c r="K1515" s="82"/>
    </row>
    <row r="1516" spans="1:11" s="82" customFormat="1" ht="12.75" x14ac:dyDescent="0.25">
      <c r="A1516" s="28">
        <f t="shared" si="41"/>
        <v>1442</v>
      </c>
      <c r="B1516" s="29" t="s">
        <v>2494</v>
      </c>
      <c r="C1516" s="29" t="s">
        <v>2495</v>
      </c>
      <c r="D1516" s="48" t="s">
        <v>438</v>
      </c>
      <c r="E1516" s="59">
        <v>577800</v>
      </c>
      <c r="F1516" s="60"/>
      <c r="G1516" s="61"/>
    </row>
    <row r="1517" spans="1:11" s="82" customFormat="1" ht="25.5" x14ac:dyDescent="0.25">
      <c r="A1517" s="28">
        <f t="shared" si="41"/>
        <v>1443</v>
      </c>
      <c r="B1517" s="29" t="s">
        <v>2496</v>
      </c>
      <c r="C1517" s="29" t="s">
        <v>2497</v>
      </c>
      <c r="D1517" s="48" t="s">
        <v>438</v>
      </c>
      <c r="E1517" s="59">
        <v>102720</v>
      </c>
      <c r="F1517" s="60"/>
      <c r="G1517" s="61"/>
      <c r="K1517" s="62"/>
    </row>
    <row r="1518" spans="1:11" s="62" customFormat="1" ht="25.5" x14ac:dyDescent="0.25">
      <c r="A1518" s="28">
        <f t="shared" si="41"/>
        <v>1444</v>
      </c>
      <c r="B1518" s="29" t="s">
        <v>2498</v>
      </c>
      <c r="C1518" s="29" t="s">
        <v>2499</v>
      </c>
      <c r="D1518" s="48" t="s">
        <v>438</v>
      </c>
      <c r="E1518" s="59">
        <v>192600</v>
      </c>
      <c r="F1518" s="60"/>
      <c r="G1518" s="61"/>
      <c r="H1518" s="82"/>
      <c r="I1518" s="82"/>
      <c r="J1518" s="82"/>
      <c r="K1518" s="82"/>
    </row>
    <row r="1519" spans="1:11" s="82" customFormat="1" ht="25.5" x14ac:dyDescent="0.25">
      <c r="A1519" s="28">
        <f t="shared" si="41"/>
        <v>1445</v>
      </c>
      <c r="B1519" s="29" t="s">
        <v>2500</v>
      </c>
      <c r="C1519" s="29" t="s">
        <v>2501</v>
      </c>
      <c r="D1519" s="48" t="s">
        <v>438</v>
      </c>
      <c r="E1519" s="59">
        <v>385200</v>
      </c>
      <c r="F1519" s="60"/>
      <c r="G1519" s="61"/>
    </row>
    <row r="1520" spans="1:11" s="82" customFormat="1" ht="18.75" customHeight="1" x14ac:dyDescent="0.25">
      <c r="A1520" s="28">
        <f t="shared" si="41"/>
        <v>1446</v>
      </c>
      <c r="B1520" s="29" t="s">
        <v>3077</v>
      </c>
      <c r="C1520" s="29" t="s">
        <v>2502</v>
      </c>
      <c r="D1520" s="48" t="s">
        <v>438</v>
      </c>
      <c r="E1520" s="59">
        <v>45000</v>
      </c>
      <c r="F1520" s="60"/>
      <c r="G1520" s="61"/>
    </row>
    <row r="1521" spans="1:11" s="82" customFormat="1" ht="18.75" customHeight="1" x14ac:dyDescent="0.2">
      <c r="A1521" s="28">
        <f t="shared" si="41"/>
        <v>1447</v>
      </c>
      <c r="B1521" s="86" t="s">
        <v>2503</v>
      </c>
      <c r="C1521" s="29" t="s">
        <v>2504</v>
      </c>
      <c r="D1521" s="48" t="s">
        <v>438</v>
      </c>
      <c r="E1521" s="59">
        <v>89880</v>
      </c>
      <c r="F1521" s="60"/>
      <c r="G1521" s="61"/>
      <c r="K1521" s="62"/>
    </row>
    <row r="1522" spans="1:11" s="62" customFormat="1" ht="18.75" customHeight="1" x14ac:dyDescent="0.25">
      <c r="A1522" s="28">
        <f t="shared" si="41"/>
        <v>1448</v>
      </c>
      <c r="B1522" s="29" t="s">
        <v>3090</v>
      </c>
      <c r="C1522" s="29" t="s">
        <v>2505</v>
      </c>
      <c r="D1522" s="48" t="s">
        <v>438</v>
      </c>
      <c r="E1522" s="59">
        <v>179760</v>
      </c>
      <c r="F1522" s="60"/>
      <c r="G1522" s="61"/>
      <c r="H1522" s="82"/>
      <c r="I1522" s="82"/>
      <c r="J1522" s="82"/>
      <c r="K1522" s="82"/>
    </row>
    <row r="1523" spans="1:11" s="82" customFormat="1" ht="18.75" customHeight="1" x14ac:dyDescent="0.25">
      <c r="A1523" s="28">
        <f t="shared" si="41"/>
        <v>1449</v>
      </c>
      <c r="B1523" s="29" t="s">
        <v>2506</v>
      </c>
      <c r="C1523" s="29" t="s">
        <v>2507</v>
      </c>
      <c r="D1523" s="48" t="s">
        <v>438</v>
      </c>
      <c r="E1523" s="59">
        <v>64200</v>
      </c>
      <c r="F1523" s="60"/>
      <c r="G1523" s="61"/>
    </row>
    <row r="1524" spans="1:11" s="82" customFormat="1" ht="21" customHeight="1" x14ac:dyDescent="0.25">
      <c r="A1524" s="28">
        <f t="shared" si="41"/>
        <v>1450</v>
      </c>
      <c r="B1524" s="33" t="s">
        <v>3089</v>
      </c>
      <c r="C1524" s="29" t="s">
        <v>2508</v>
      </c>
      <c r="D1524" s="48" t="s">
        <v>438</v>
      </c>
      <c r="E1524" s="59">
        <v>321000</v>
      </c>
      <c r="F1524" s="60"/>
      <c r="G1524" s="61"/>
    </row>
    <row r="1525" spans="1:11" s="82" customFormat="1" ht="21" customHeight="1" x14ac:dyDescent="0.25">
      <c r="A1525" s="28">
        <f t="shared" si="41"/>
        <v>1451</v>
      </c>
      <c r="B1525" s="29" t="s">
        <v>3088</v>
      </c>
      <c r="C1525" s="29" t="s">
        <v>2509</v>
      </c>
      <c r="D1525" s="48" t="s">
        <v>438</v>
      </c>
      <c r="E1525" s="59">
        <v>449400</v>
      </c>
      <c r="F1525" s="60"/>
      <c r="G1525" s="61"/>
    </row>
    <row r="1526" spans="1:11" s="82" customFormat="1" ht="18.75" customHeight="1" x14ac:dyDescent="0.25">
      <c r="A1526" s="28">
        <f t="shared" si="41"/>
        <v>1452</v>
      </c>
      <c r="B1526" s="29" t="s">
        <v>2510</v>
      </c>
      <c r="C1526" s="29" t="s">
        <v>2511</v>
      </c>
      <c r="D1526" s="48" t="s">
        <v>438</v>
      </c>
      <c r="E1526" s="59">
        <v>770400</v>
      </c>
      <c r="F1526" s="60"/>
      <c r="G1526" s="61"/>
    </row>
    <row r="1527" spans="1:11" s="82" customFormat="1" ht="12.75" x14ac:dyDescent="0.25">
      <c r="A1527" s="28">
        <f t="shared" si="41"/>
        <v>1453</v>
      </c>
      <c r="B1527" s="29" t="s">
        <v>2512</v>
      </c>
      <c r="C1527" s="29" t="s">
        <v>2513</v>
      </c>
      <c r="D1527" s="48" t="s">
        <v>438</v>
      </c>
      <c r="E1527" s="59">
        <v>141240</v>
      </c>
      <c r="F1527" s="60"/>
      <c r="G1527" s="61"/>
      <c r="H1527" s="62"/>
      <c r="I1527" s="62"/>
      <c r="J1527" s="62"/>
    </row>
    <row r="1528" spans="1:11" s="82" customFormat="1" ht="18.75" customHeight="1" x14ac:dyDescent="0.25">
      <c r="A1528" s="136" t="s">
        <v>2514</v>
      </c>
      <c r="B1528" s="137"/>
      <c r="C1528" s="137"/>
      <c r="D1528" s="137"/>
      <c r="E1528" s="138"/>
      <c r="F1528" s="60"/>
      <c r="G1528" s="61"/>
    </row>
    <row r="1529" spans="1:11" s="82" customFormat="1" ht="12.75" x14ac:dyDescent="0.25">
      <c r="A1529" s="28">
        <f>A1527+1</f>
        <v>1454</v>
      </c>
      <c r="B1529" s="87" t="s">
        <v>2515</v>
      </c>
      <c r="C1529" s="88" t="s">
        <v>2516</v>
      </c>
      <c r="D1529" s="48" t="s">
        <v>2517</v>
      </c>
      <c r="E1529" s="59">
        <v>64200</v>
      </c>
      <c r="F1529" s="60"/>
      <c r="G1529" s="61"/>
    </row>
    <row r="1530" spans="1:11" s="82" customFormat="1" ht="12.75" x14ac:dyDescent="0.25">
      <c r="A1530" s="28">
        <f>A1529+1</f>
        <v>1455</v>
      </c>
      <c r="B1530" s="87" t="s">
        <v>2518</v>
      </c>
      <c r="C1530" s="88" t="s">
        <v>2519</v>
      </c>
      <c r="D1530" s="48" t="s">
        <v>2517</v>
      </c>
      <c r="E1530" s="59">
        <v>77040</v>
      </c>
      <c r="F1530" s="60"/>
      <c r="G1530" s="61"/>
    </row>
    <row r="1531" spans="1:11" s="82" customFormat="1" ht="12.75" x14ac:dyDescent="0.25">
      <c r="A1531" s="28">
        <f>A1530+1</f>
        <v>1456</v>
      </c>
      <c r="B1531" s="49" t="s">
        <v>2520</v>
      </c>
      <c r="C1531" s="49"/>
      <c r="D1531" s="40" t="s">
        <v>467</v>
      </c>
      <c r="E1531" s="59">
        <v>32160</v>
      </c>
      <c r="F1531" s="60"/>
      <c r="G1531" s="61"/>
    </row>
    <row r="1532" spans="1:11" s="82" customFormat="1" ht="25.5" x14ac:dyDescent="0.25">
      <c r="A1532" s="28">
        <f>A1531+1</f>
        <v>1457</v>
      </c>
      <c r="B1532" s="29" t="s">
        <v>2521</v>
      </c>
      <c r="C1532" s="88" t="s">
        <v>2522</v>
      </c>
      <c r="D1532" s="48" t="s">
        <v>2517</v>
      </c>
      <c r="E1532" s="59">
        <v>192600</v>
      </c>
      <c r="F1532" s="60"/>
      <c r="G1532" s="61"/>
    </row>
    <row r="1533" spans="1:11" s="82" customFormat="1" ht="12.75" x14ac:dyDescent="0.25">
      <c r="A1533" s="28">
        <f t="shared" ref="A1533:A1596" si="42">A1532+1</f>
        <v>1458</v>
      </c>
      <c r="B1533" s="29" t="s">
        <v>2523</v>
      </c>
      <c r="C1533" s="88" t="s">
        <v>2524</v>
      </c>
      <c r="D1533" s="48" t="s">
        <v>2517</v>
      </c>
      <c r="E1533" s="59">
        <v>192600</v>
      </c>
      <c r="F1533" s="60"/>
      <c r="G1533" s="61"/>
    </row>
    <row r="1534" spans="1:11" s="82" customFormat="1" ht="12.75" x14ac:dyDescent="0.25">
      <c r="A1534" s="28">
        <f t="shared" si="42"/>
        <v>1459</v>
      </c>
      <c r="B1534" s="53" t="s">
        <v>2525</v>
      </c>
      <c r="C1534" s="88" t="s">
        <v>2526</v>
      </c>
      <c r="D1534" s="48" t="s">
        <v>2517</v>
      </c>
      <c r="E1534" s="59">
        <v>192600</v>
      </c>
      <c r="F1534" s="60"/>
      <c r="G1534" s="61"/>
    </row>
    <row r="1535" spans="1:11" s="82" customFormat="1" ht="12.75" x14ac:dyDescent="0.25">
      <c r="A1535" s="28">
        <f t="shared" si="42"/>
        <v>1460</v>
      </c>
      <c r="B1535" s="53" t="s">
        <v>2527</v>
      </c>
      <c r="C1535" s="88" t="s">
        <v>2526</v>
      </c>
      <c r="D1535" s="48" t="s">
        <v>2517</v>
      </c>
      <c r="E1535" s="59">
        <v>192600</v>
      </c>
      <c r="F1535" s="60"/>
      <c r="G1535" s="61"/>
    </row>
    <row r="1536" spans="1:11" s="82" customFormat="1" ht="12.75" x14ac:dyDescent="0.25">
      <c r="A1536" s="28">
        <f t="shared" si="42"/>
        <v>1461</v>
      </c>
      <c r="B1536" s="87" t="s">
        <v>2528</v>
      </c>
      <c r="C1536" s="88" t="s">
        <v>2526</v>
      </c>
      <c r="D1536" s="48" t="s">
        <v>2517</v>
      </c>
      <c r="E1536" s="59">
        <v>192600</v>
      </c>
      <c r="F1536" s="60"/>
      <c r="G1536" s="61"/>
      <c r="K1536" s="62"/>
    </row>
    <row r="1537" spans="1:11" s="62" customFormat="1" ht="12.75" x14ac:dyDescent="0.25">
      <c r="A1537" s="28">
        <f t="shared" si="42"/>
        <v>1462</v>
      </c>
      <c r="B1537" s="29" t="s">
        <v>2529</v>
      </c>
      <c r="C1537" s="88"/>
      <c r="D1537" s="48" t="s">
        <v>467</v>
      </c>
      <c r="E1537" s="59">
        <v>6480</v>
      </c>
      <c r="F1537" s="60"/>
      <c r="G1537" s="61"/>
      <c r="H1537" s="82"/>
      <c r="I1537" s="82"/>
      <c r="J1537" s="82"/>
      <c r="K1537" s="82"/>
    </row>
    <row r="1538" spans="1:11" s="82" customFormat="1" ht="12.75" x14ac:dyDescent="0.25">
      <c r="A1538" s="28">
        <f t="shared" si="42"/>
        <v>1463</v>
      </c>
      <c r="B1538" s="29" t="s">
        <v>2530</v>
      </c>
      <c r="C1538" s="88" t="s">
        <v>2531</v>
      </c>
      <c r="D1538" s="48" t="s">
        <v>2517</v>
      </c>
      <c r="E1538" s="59">
        <v>64200</v>
      </c>
      <c r="F1538" s="60"/>
      <c r="G1538" s="61"/>
    </row>
    <row r="1539" spans="1:11" s="82" customFormat="1" ht="12.75" x14ac:dyDescent="0.25">
      <c r="A1539" s="28">
        <f t="shared" si="42"/>
        <v>1464</v>
      </c>
      <c r="B1539" s="29" t="s">
        <v>2532</v>
      </c>
      <c r="C1539" s="88" t="s">
        <v>2533</v>
      </c>
      <c r="D1539" s="48" t="s">
        <v>2517</v>
      </c>
      <c r="E1539" s="59">
        <v>64200</v>
      </c>
      <c r="F1539" s="60"/>
      <c r="G1539" s="61"/>
    </row>
    <row r="1540" spans="1:11" s="82" customFormat="1" ht="25.5" x14ac:dyDescent="0.25">
      <c r="A1540" s="28">
        <f t="shared" si="42"/>
        <v>1465</v>
      </c>
      <c r="B1540" s="29" t="s">
        <v>2534</v>
      </c>
      <c r="C1540" s="88" t="s">
        <v>2535</v>
      </c>
      <c r="D1540" s="48" t="s">
        <v>2517</v>
      </c>
      <c r="E1540" s="59">
        <v>128400</v>
      </c>
      <c r="F1540" s="60"/>
      <c r="G1540" s="61"/>
    </row>
    <row r="1541" spans="1:11" s="82" customFormat="1" ht="12.75" x14ac:dyDescent="0.25">
      <c r="A1541" s="28">
        <f t="shared" si="42"/>
        <v>1466</v>
      </c>
      <c r="B1541" s="87" t="s">
        <v>2536</v>
      </c>
      <c r="C1541" s="88" t="s">
        <v>2537</v>
      </c>
      <c r="D1541" s="48" t="s">
        <v>2517</v>
      </c>
      <c r="E1541" s="59">
        <v>102720</v>
      </c>
      <c r="F1541" s="60"/>
      <c r="G1541" s="61"/>
    </row>
    <row r="1542" spans="1:11" s="82" customFormat="1" ht="12.75" x14ac:dyDescent="0.25">
      <c r="A1542" s="28">
        <f t="shared" si="42"/>
        <v>1467</v>
      </c>
      <c r="B1542" s="87" t="s">
        <v>2538</v>
      </c>
      <c r="C1542" s="88" t="s">
        <v>2539</v>
      </c>
      <c r="D1542" s="48" t="s">
        <v>2517</v>
      </c>
      <c r="E1542" s="59">
        <v>192600</v>
      </c>
      <c r="F1542" s="60"/>
      <c r="G1542" s="61"/>
    </row>
    <row r="1543" spans="1:11" s="82" customFormat="1" ht="12.75" x14ac:dyDescent="0.25">
      <c r="A1543" s="28">
        <f t="shared" si="42"/>
        <v>1468</v>
      </c>
      <c r="B1543" s="87" t="s">
        <v>2540</v>
      </c>
      <c r="C1543" s="88" t="s">
        <v>2541</v>
      </c>
      <c r="D1543" s="48" t="s">
        <v>467</v>
      </c>
      <c r="E1543" s="59">
        <v>192720</v>
      </c>
      <c r="F1543" s="60"/>
      <c r="G1543" s="61"/>
    </row>
    <row r="1544" spans="1:11" s="82" customFormat="1" ht="12.75" x14ac:dyDescent="0.25">
      <c r="A1544" s="28">
        <f t="shared" si="42"/>
        <v>1469</v>
      </c>
      <c r="B1544" s="53" t="s">
        <v>2542</v>
      </c>
      <c r="C1544" s="88" t="s">
        <v>2543</v>
      </c>
      <c r="D1544" s="48" t="s">
        <v>2517</v>
      </c>
      <c r="E1544" s="59">
        <v>256800</v>
      </c>
      <c r="F1544" s="60"/>
      <c r="G1544" s="61"/>
    </row>
    <row r="1545" spans="1:11" s="82" customFormat="1" ht="12.75" x14ac:dyDescent="0.25">
      <c r="A1545" s="28">
        <f t="shared" si="42"/>
        <v>1470</v>
      </c>
      <c r="B1545" s="87" t="s">
        <v>2544</v>
      </c>
      <c r="C1545" s="88" t="s">
        <v>2545</v>
      </c>
      <c r="D1545" s="48" t="s">
        <v>467</v>
      </c>
      <c r="E1545" s="59">
        <v>192600</v>
      </c>
      <c r="F1545" s="60"/>
      <c r="G1545" s="61"/>
    </row>
    <row r="1546" spans="1:11" s="82" customFormat="1" ht="12.75" x14ac:dyDescent="0.25">
      <c r="A1546" s="28">
        <f t="shared" si="42"/>
        <v>1471</v>
      </c>
      <c r="B1546" s="87" t="s">
        <v>2546</v>
      </c>
      <c r="C1546" s="88" t="s">
        <v>2547</v>
      </c>
      <c r="D1546" s="48" t="s">
        <v>467</v>
      </c>
      <c r="E1546" s="59">
        <v>321000</v>
      </c>
      <c r="F1546" s="60"/>
      <c r="G1546" s="61"/>
    </row>
    <row r="1547" spans="1:11" s="82" customFormat="1" ht="12.75" x14ac:dyDescent="0.25">
      <c r="A1547" s="28">
        <f t="shared" si="42"/>
        <v>1472</v>
      </c>
      <c r="B1547" s="29" t="s">
        <v>2548</v>
      </c>
      <c r="C1547" s="88" t="s">
        <v>2549</v>
      </c>
      <c r="D1547" s="48" t="s">
        <v>2517</v>
      </c>
      <c r="E1547" s="59">
        <v>128400</v>
      </c>
      <c r="F1547" s="60"/>
      <c r="G1547" s="61"/>
    </row>
    <row r="1548" spans="1:11" s="82" customFormat="1" ht="12.75" x14ac:dyDescent="0.25">
      <c r="A1548" s="28">
        <f t="shared" si="42"/>
        <v>1473</v>
      </c>
      <c r="B1548" s="87" t="s">
        <v>2550</v>
      </c>
      <c r="C1548" s="88" t="s">
        <v>2551</v>
      </c>
      <c r="D1548" s="48" t="s">
        <v>467</v>
      </c>
      <c r="E1548" s="59">
        <v>321000</v>
      </c>
      <c r="F1548" s="60"/>
      <c r="G1548" s="61"/>
    </row>
    <row r="1549" spans="1:11" s="82" customFormat="1" ht="12.75" x14ac:dyDescent="0.25">
      <c r="A1549" s="28">
        <f t="shared" si="42"/>
        <v>1474</v>
      </c>
      <c r="B1549" s="87" t="s">
        <v>2552</v>
      </c>
      <c r="C1549" s="88" t="s">
        <v>2553</v>
      </c>
      <c r="D1549" s="48" t="s">
        <v>2517</v>
      </c>
      <c r="E1549" s="59">
        <v>256800</v>
      </c>
      <c r="F1549" s="60"/>
      <c r="G1549" s="61"/>
      <c r="H1549" s="62"/>
      <c r="I1549" s="62"/>
      <c r="J1549" s="62"/>
    </row>
    <row r="1550" spans="1:11" s="82" customFormat="1" ht="12.75" x14ac:dyDescent="0.25">
      <c r="A1550" s="28">
        <f t="shared" si="42"/>
        <v>1475</v>
      </c>
      <c r="B1550" s="87" t="s">
        <v>3069</v>
      </c>
      <c r="C1550" s="88" t="s">
        <v>2554</v>
      </c>
      <c r="D1550" s="48" t="s">
        <v>2517</v>
      </c>
      <c r="E1550" s="59">
        <v>90000</v>
      </c>
      <c r="F1550" s="60"/>
      <c r="G1550" s="61"/>
    </row>
    <row r="1551" spans="1:11" s="82" customFormat="1" ht="12.75" x14ac:dyDescent="0.25">
      <c r="A1551" s="28">
        <f t="shared" si="42"/>
        <v>1476</v>
      </c>
      <c r="B1551" s="87" t="s">
        <v>2555</v>
      </c>
      <c r="C1551" s="88" t="s">
        <v>2556</v>
      </c>
      <c r="D1551" s="48" t="s">
        <v>2517</v>
      </c>
      <c r="E1551" s="59">
        <v>89880</v>
      </c>
      <c r="F1551" s="60"/>
      <c r="G1551" s="61"/>
    </row>
    <row r="1552" spans="1:11" s="82" customFormat="1" ht="36" customHeight="1" x14ac:dyDescent="0.25">
      <c r="A1552" s="28">
        <f t="shared" si="42"/>
        <v>1477</v>
      </c>
      <c r="B1552" s="29" t="s">
        <v>2557</v>
      </c>
      <c r="C1552" s="88" t="s">
        <v>2558</v>
      </c>
      <c r="D1552" s="48" t="s">
        <v>2517</v>
      </c>
      <c r="E1552" s="59">
        <v>128400</v>
      </c>
      <c r="F1552" s="60"/>
      <c r="G1552" s="61"/>
    </row>
    <row r="1553" spans="1:11" s="82" customFormat="1" ht="25.5" x14ac:dyDescent="0.25">
      <c r="A1553" s="28">
        <f t="shared" si="42"/>
        <v>1478</v>
      </c>
      <c r="B1553" s="78" t="s">
        <v>2559</v>
      </c>
      <c r="C1553" s="89" t="s">
        <v>2560</v>
      </c>
      <c r="D1553" s="70" t="s">
        <v>467</v>
      </c>
      <c r="E1553" s="59">
        <v>115560</v>
      </c>
      <c r="F1553" s="60"/>
      <c r="G1553" s="61"/>
    </row>
    <row r="1554" spans="1:11" s="82" customFormat="1" ht="12.75" x14ac:dyDescent="0.25">
      <c r="A1554" s="28">
        <f t="shared" si="42"/>
        <v>1479</v>
      </c>
      <c r="B1554" s="87" t="s">
        <v>2561</v>
      </c>
      <c r="C1554" s="88"/>
      <c r="D1554" s="48" t="s">
        <v>2517</v>
      </c>
      <c r="E1554" s="59">
        <v>64200</v>
      </c>
      <c r="F1554" s="60"/>
      <c r="G1554" s="61"/>
    </row>
    <row r="1555" spans="1:11" s="82" customFormat="1" ht="12.75" x14ac:dyDescent="0.25">
      <c r="A1555" s="28">
        <f t="shared" si="42"/>
        <v>1480</v>
      </c>
      <c r="B1555" s="29" t="s">
        <v>2562</v>
      </c>
      <c r="C1555" s="88" t="s">
        <v>2563</v>
      </c>
      <c r="D1555" s="48" t="s">
        <v>2517</v>
      </c>
      <c r="E1555" s="59">
        <v>89880</v>
      </c>
      <c r="F1555" s="60"/>
      <c r="G1555" s="61"/>
    </row>
    <row r="1556" spans="1:11" s="82" customFormat="1" ht="20.25" customHeight="1" x14ac:dyDescent="0.25">
      <c r="A1556" s="28">
        <f t="shared" si="42"/>
        <v>1481</v>
      </c>
      <c r="B1556" s="29" t="s">
        <v>2564</v>
      </c>
      <c r="C1556" s="88" t="s">
        <v>2565</v>
      </c>
      <c r="D1556" s="48" t="s">
        <v>2517</v>
      </c>
      <c r="E1556" s="59">
        <v>192600</v>
      </c>
      <c r="F1556" s="60"/>
      <c r="G1556" s="61"/>
    </row>
    <row r="1557" spans="1:11" s="82" customFormat="1" ht="12.75" x14ac:dyDescent="0.25">
      <c r="A1557" s="28">
        <f t="shared" si="42"/>
        <v>1482</v>
      </c>
      <c r="B1557" s="87" t="s">
        <v>2566</v>
      </c>
      <c r="C1557" s="88" t="s">
        <v>2567</v>
      </c>
      <c r="D1557" s="48" t="s">
        <v>2517</v>
      </c>
      <c r="E1557" s="59">
        <v>192600</v>
      </c>
      <c r="F1557" s="60"/>
      <c r="G1557" s="61"/>
    </row>
    <row r="1558" spans="1:11" s="82" customFormat="1" ht="12.75" x14ac:dyDescent="0.25">
      <c r="A1558" s="28">
        <f t="shared" si="42"/>
        <v>1483</v>
      </c>
      <c r="B1558" s="29" t="s">
        <v>2568</v>
      </c>
      <c r="C1558" s="88" t="s">
        <v>2569</v>
      </c>
      <c r="D1558" s="48" t="s">
        <v>2517</v>
      </c>
      <c r="E1558" s="59">
        <v>102720</v>
      </c>
      <c r="F1558" s="60"/>
      <c r="G1558" s="61"/>
      <c r="K1558" s="62"/>
    </row>
    <row r="1559" spans="1:11" s="62" customFormat="1" ht="12.75" x14ac:dyDescent="0.25">
      <c r="A1559" s="28">
        <f t="shared" si="42"/>
        <v>1484</v>
      </c>
      <c r="B1559" s="87" t="s">
        <v>2570</v>
      </c>
      <c r="C1559" s="88" t="s">
        <v>2563</v>
      </c>
      <c r="D1559" s="48" t="s">
        <v>2517</v>
      </c>
      <c r="E1559" s="59">
        <v>102720</v>
      </c>
      <c r="F1559" s="60"/>
      <c r="G1559" s="61"/>
      <c r="H1559" s="82"/>
      <c r="I1559" s="82"/>
      <c r="J1559" s="82"/>
      <c r="K1559" s="82"/>
    </row>
    <row r="1560" spans="1:11" s="82" customFormat="1" ht="25.5" x14ac:dyDescent="0.25">
      <c r="A1560" s="28">
        <f t="shared" si="42"/>
        <v>1485</v>
      </c>
      <c r="B1560" s="29" t="s">
        <v>2571</v>
      </c>
      <c r="C1560" s="88" t="s">
        <v>2572</v>
      </c>
      <c r="D1560" s="48" t="s">
        <v>2517</v>
      </c>
      <c r="E1560" s="59">
        <v>89880</v>
      </c>
      <c r="F1560" s="60"/>
      <c r="G1560" s="61"/>
      <c r="H1560" s="62"/>
      <c r="I1560" s="62"/>
      <c r="J1560" s="62"/>
    </row>
    <row r="1561" spans="1:11" s="82" customFormat="1" ht="12.75" x14ac:dyDescent="0.25">
      <c r="A1561" s="28">
        <f t="shared" si="42"/>
        <v>1486</v>
      </c>
      <c r="B1561" s="29" t="s">
        <v>759</v>
      </c>
      <c r="C1561" s="29" t="s">
        <v>760</v>
      </c>
      <c r="D1561" s="28" t="s">
        <v>356</v>
      </c>
      <c r="E1561" s="59">
        <v>1200</v>
      </c>
      <c r="F1561" s="60"/>
      <c r="G1561" s="61"/>
      <c r="H1561" s="62"/>
      <c r="I1561" s="62"/>
      <c r="J1561" s="62"/>
    </row>
    <row r="1562" spans="1:11" s="82" customFormat="1" ht="12.75" x14ac:dyDescent="0.25">
      <c r="A1562" s="28">
        <f t="shared" si="42"/>
        <v>1487</v>
      </c>
      <c r="B1562" s="87" t="s">
        <v>2573</v>
      </c>
      <c r="C1562" s="88" t="s">
        <v>2574</v>
      </c>
      <c r="D1562" s="48" t="s">
        <v>2517</v>
      </c>
      <c r="E1562" s="59">
        <v>385200</v>
      </c>
      <c r="F1562" s="60"/>
      <c r="G1562" s="61"/>
      <c r="H1562" s="62"/>
      <c r="I1562" s="62"/>
      <c r="J1562" s="62"/>
    </row>
    <row r="1563" spans="1:11" s="82" customFormat="1" ht="12.75" x14ac:dyDescent="0.25">
      <c r="A1563" s="28">
        <f t="shared" si="42"/>
        <v>1488</v>
      </c>
      <c r="B1563" s="87" t="s">
        <v>2575</v>
      </c>
      <c r="C1563" s="88" t="s">
        <v>2576</v>
      </c>
      <c r="D1563" s="48" t="s">
        <v>2517</v>
      </c>
      <c r="E1563" s="59">
        <v>77040</v>
      </c>
      <c r="F1563" s="60"/>
      <c r="G1563" s="61"/>
    </row>
    <row r="1564" spans="1:11" s="82" customFormat="1" ht="12.75" x14ac:dyDescent="0.25">
      <c r="A1564" s="28">
        <f t="shared" si="42"/>
        <v>1489</v>
      </c>
      <c r="B1564" s="53" t="s">
        <v>2577</v>
      </c>
      <c r="C1564" s="88" t="s">
        <v>2578</v>
      </c>
      <c r="D1564" s="48" t="s">
        <v>2517</v>
      </c>
      <c r="E1564" s="59">
        <v>166920</v>
      </c>
      <c r="F1564" s="60"/>
      <c r="G1564" s="61"/>
    </row>
    <row r="1565" spans="1:11" s="82" customFormat="1" ht="25.5" x14ac:dyDescent="0.25">
      <c r="A1565" s="28">
        <f t="shared" si="42"/>
        <v>1490</v>
      </c>
      <c r="B1565" s="53" t="s">
        <v>2579</v>
      </c>
      <c r="C1565" s="88" t="s">
        <v>2580</v>
      </c>
      <c r="D1565" s="48" t="s">
        <v>2517</v>
      </c>
      <c r="E1565" s="59">
        <v>359520</v>
      </c>
      <c r="F1565" s="60"/>
      <c r="G1565" s="61"/>
    </row>
    <row r="1566" spans="1:11" s="82" customFormat="1" ht="12.75" x14ac:dyDescent="0.25">
      <c r="A1566" s="28">
        <f t="shared" si="42"/>
        <v>1491</v>
      </c>
      <c r="B1566" s="29" t="s">
        <v>2581</v>
      </c>
      <c r="C1566" s="88" t="s">
        <v>2582</v>
      </c>
      <c r="D1566" s="48" t="s">
        <v>2517</v>
      </c>
      <c r="E1566" s="59">
        <v>205440</v>
      </c>
      <c r="F1566" s="60"/>
      <c r="G1566" s="61"/>
    </row>
    <row r="1567" spans="1:11" s="82" customFormat="1" ht="12.75" x14ac:dyDescent="0.25">
      <c r="A1567" s="28">
        <f t="shared" si="42"/>
        <v>1492</v>
      </c>
      <c r="B1567" s="87" t="s">
        <v>2583</v>
      </c>
      <c r="C1567" s="88" t="s">
        <v>2584</v>
      </c>
      <c r="D1567" s="48" t="s">
        <v>2517</v>
      </c>
      <c r="E1567" s="59">
        <v>321000</v>
      </c>
      <c r="F1567" s="60"/>
      <c r="G1567" s="61"/>
    </row>
    <row r="1568" spans="1:11" s="82" customFormat="1" ht="12.75" x14ac:dyDescent="0.25">
      <c r="A1568" s="28">
        <f t="shared" si="42"/>
        <v>1493</v>
      </c>
      <c r="B1568" s="53" t="s">
        <v>2585</v>
      </c>
      <c r="C1568" s="88" t="s">
        <v>2551</v>
      </c>
      <c r="D1568" s="48" t="s">
        <v>2517</v>
      </c>
      <c r="E1568" s="59">
        <v>256800</v>
      </c>
      <c r="F1568" s="60"/>
      <c r="G1568" s="61"/>
    </row>
    <row r="1569" spans="1:11" s="82" customFormat="1" ht="12.75" x14ac:dyDescent="0.25">
      <c r="A1569" s="28">
        <f t="shared" si="42"/>
        <v>1494</v>
      </c>
      <c r="B1569" s="53" t="s">
        <v>2586</v>
      </c>
      <c r="C1569" s="88" t="s">
        <v>2587</v>
      </c>
      <c r="D1569" s="48" t="s">
        <v>2517</v>
      </c>
      <c r="E1569" s="59">
        <v>122040</v>
      </c>
      <c r="F1569" s="60"/>
      <c r="G1569" s="61"/>
    </row>
    <row r="1570" spans="1:11" s="82" customFormat="1" ht="12.75" x14ac:dyDescent="0.25">
      <c r="A1570" s="28">
        <f t="shared" si="42"/>
        <v>1495</v>
      </c>
      <c r="B1570" s="29" t="s">
        <v>2588</v>
      </c>
      <c r="C1570" s="88" t="s">
        <v>2589</v>
      </c>
      <c r="D1570" s="48" t="s">
        <v>2517</v>
      </c>
      <c r="E1570" s="59">
        <v>205440</v>
      </c>
      <c r="F1570" s="60"/>
      <c r="G1570" s="61"/>
      <c r="K1570" s="62"/>
    </row>
    <row r="1571" spans="1:11" s="82" customFormat="1" ht="12.75" x14ac:dyDescent="0.25">
      <c r="A1571" s="28">
        <f t="shared" si="42"/>
        <v>1496</v>
      </c>
      <c r="B1571" s="78" t="s">
        <v>2590</v>
      </c>
      <c r="C1571" s="90" t="s">
        <v>2591</v>
      </c>
      <c r="D1571" s="70" t="s">
        <v>438</v>
      </c>
      <c r="E1571" s="59">
        <v>321000</v>
      </c>
      <c r="F1571" s="60"/>
      <c r="G1571" s="61"/>
      <c r="K1571" s="62"/>
    </row>
    <row r="1572" spans="1:11" s="62" customFormat="1" ht="25.5" x14ac:dyDescent="0.25">
      <c r="A1572" s="28">
        <f t="shared" si="42"/>
        <v>1497</v>
      </c>
      <c r="B1572" s="87" t="s">
        <v>2592</v>
      </c>
      <c r="C1572" s="88" t="s">
        <v>2593</v>
      </c>
      <c r="D1572" s="48" t="s">
        <v>2517</v>
      </c>
      <c r="E1572" s="59">
        <v>139080</v>
      </c>
      <c r="F1572" s="60"/>
      <c r="G1572" s="61"/>
      <c r="K1572" s="82"/>
    </row>
    <row r="1573" spans="1:11" s="62" customFormat="1" ht="12.75" x14ac:dyDescent="0.25">
      <c r="A1573" s="28">
        <f t="shared" si="42"/>
        <v>1498</v>
      </c>
      <c r="B1573" s="49" t="s">
        <v>2594</v>
      </c>
      <c r="C1573" s="91" t="s">
        <v>2595</v>
      </c>
      <c r="D1573" s="40" t="s">
        <v>438</v>
      </c>
      <c r="E1573" s="59">
        <v>115560</v>
      </c>
      <c r="F1573" s="60"/>
      <c r="G1573" s="61"/>
      <c r="K1573" s="82"/>
    </row>
    <row r="1574" spans="1:11" s="82" customFormat="1" ht="12.75" x14ac:dyDescent="0.25">
      <c r="A1574" s="28">
        <f t="shared" si="42"/>
        <v>1499</v>
      </c>
      <c r="B1574" s="53" t="s">
        <v>2596</v>
      </c>
      <c r="C1574" s="88" t="s">
        <v>2597</v>
      </c>
      <c r="D1574" s="48" t="s">
        <v>2517</v>
      </c>
      <c r="E1574" s="59">
        <v>192600</v>
      </c>
      <c r="F1574" s="60"/>
      <c r="G1574" s="61"/>
    </row>
    <row r="1575" spans="1:11" s="82" customFormat="1" ht="12.75" x14ac:dyDescent="0.25">
      <c r="A1575" s="28">
        <f t="shared" si="42"/>
        <v>1500</v>
      </c>
      <c r="B1575" s="87" t="s">
        <v>2598</v>
      </c>
      <c r="C1575" s="88" t="s">
        <v>2599</v>
      </c>
      <c r="D1575" s="48" t="s">
        <v>2517</v>
      </c>
      <c r="E1575" s="59">
        <v>192600</v>
      </c>
      <c r="F1575" s="60"/>
      <c r="G1575" s="61"/>
    </row>
    <row r="1576" spans="1:11" s="82" customFormat="1" ht="12.75" x14ac:dyDescent="0.25">
      <c r="A1576" s="28">
        <f t="shared" si="42"/>
        <v>1501</v>
      </c>
      <c r="B1576" s="87" t="s">
        <v>2600</v>
      </c>
      <c r="C1576" s="88" t="s">
        <v>2601</v>
      </c>
      <c r="D1576" s="48" t="s">
        <v>2517</v>
      </c>
      <c r="E1576" s="59">
        <v>160560</v>
      </c>
      <c r="F1576" s="60"/>
      <c r="G1576" s="61"/>
      <c r="H1576" s="62"/>
      <c r="I1576" s="62"/>
      <c r="J1576" s="62"/>
    </row>
    <row r="1577" spans="1:11" s="82" customFormat="1" ht="12.75" x14ac:dyDescent="0.25">
      <c r="A1577" s="28">
        <f t="shared" si="42"/>
        <v>1502</v>
      </c>
      <c r="B1577" s="29" t="s">
        <v>2602</v>
      </c>
      <c r="C1577" s="88" t="s">
        <v>2603</v>
      </c>
      <c r="D1577" s="48" t="s">
        <v>2517</v>
      </c>
      <c r="E1577" s="59">
        <v>192600</v>
      </c>
      <c r="F1577" s="60"/>
      <c r="G1577" s="61"/>
      <c r="H1577" s="62"/>
      <c r="I1577" s="62"/>
      <c r="J1577" s="62"/>
    </row>
    <row r="1578" spans="1:11" s="82" customFormat="1" ht="12.75" x14ac:dyDescent="0.25">
      <c r="A1578" s="28">
        <f t="shared" si="42"/>
        <v>1503</v>
      </c>
      <c r="B1578" s="29" t="s">
        <v>2604</v>
      </c>
      <c r="C1578" s="88" t="s">
        <v>2519</v>
      </c>
      <c r="D1578" s="48" t="s">
        <v>2517</v>
      </c>
      <c r="E1578" s="59">
        <v>102720</v>
      </c>
      <c r="F1578" s="60"/>
      <c r="G1578" s="61"/>
      <c r="H1578" s="62"/>
      <c r="I1578" s="62"/>
      <c r="J1578" s="62"/>
    </row>
    <row r="1579" spans="1:11" s="82" customFormat="1" ht="12.75" x14ac:dyDescent="0.25">
      <c r="A1579" s="28">
        <f t="shared" si="42"/>
        <v>1504</v>
      </c>
      <c r="B1579" s="29" t="s">
        <v>2605</v>
      </c>
      <c r="C1579" s="88" t="s">
        <v>2519</v>
      </c>
      <c r="D1579" s="48" t="s">
        <v>2517</v>
      </c>
      <c r="E1579" s="59">
        <v>102720</v>
      </c>
      <c r="F1579" s="60"/>
      <c r="G1579" s="61"/>
      <c r="H1579" s="62"/>
      <c r="I1579" s="62"/>
      <c r="J1579" s="62"/>
    </row>
    <row r="1580" spans="1:11" s="82" customFormat="1" ht="12.75" x14ac:dyDescent="0.25">
      <c r="A1580" s="28">
        <f t="shared" si="42"/>
        <v>1505</v>
      </c>
      <c r="B1580" s="29" t="s">
        <v>2606</v>
      </c>
      <c r="C1580" s="88" t="s">
        <v>2607</v>
      </c>
      <c r="D1580" s="48" t="s">
        <v>2517</v>
      </c>
      <c r="E1580" s="59">
        <v>154080</v>
      </c>
      <c r="F1580" s="60"/>
      <c r="G1580" s="61"/>
    </row>
    <row r="1581" spans="1:11" s="82" customFormat="1" ht="12.75" x14ac:dyDescent="0.25">
      <c r="A1581" s="28">
        <f t="shared" si="42"/>
        <v>1506</v>
      </c>
      <c r="B1581" s="87" t="s">
        <v>2608</v>
      </c>
      <c r="C1581" s="88" t="s">
        <v>2519</v>
      </c>
      <c r="D1581" s="48" t="s">
        <v>2517</v>
      </c>
      <c r="E1581" s="59">
        <v>128400</v>
      </c>
      <c r="F1581" s="60"/>
      <c r="G1581" s="61"/>
      <c r="K1581" s="62"/>
    </row>
    <row r="1582" spans="1:11" s="62" customFormat="1" ht="12.75" x14ac:dyDescent="0.25">
      <c r="A1582" s="28">
        <f t="shared" si="42"/>
        <v>1507</v>
      </c>
      <c r="B1582" s="87" t="s">
        <v>2609</v>
      </c>
      <c r="C1582" s="88"/>
      <c r="D1582" s="48" t="s">
        <v>2517</v>
      </c>
      <c r="E1582" s="59">
        <v>141240</v>
      </c>
      <c r="F1582" s="60"/>
      <c r="G1582" s="61"/>
      <c r="H1582" s="82"/>
      <c r="I1582" s="82"/>
      <c r="J1582" s="82"/>
    </row>
    <row r="1583" spans="1:11" s="62" customFormat="1" ht="12.75" x14ac:dyDescent="0.25">
      <c r="A1583" s="28">
        <f t="shared" si="42"/>
        <v>1508</v>
      </c>
      <c r="B1583" s="87" t="s">
        <v>2610</v>
      </c>
      <c r="C1583" s="88" t="s">
        <v>2611</v>
      </c>
      <c r="D1583" s="48" t="s">
        <v>2517</v>
      </c>
      <c r="E1583" s="59">
        <v>192600</v>
      </c>
      <c r="F1583" s="60"/>
      <c r="G1583" s="61"/>
      <c r="H1583" s="82"/>
      <c r="I1583" s="82"/>
      <c r="J1583" s="82"/>
      <c r="K1583" s="82"/>
    </row>
    <row r="1584" spans="1:11" s="82" customFormat="1" ht="12.75" x14ac:dyDescent="0.25">
      <c r="A1584" s="28">
        <f t="shared" si="42"/>
        <v>1509</v>
      </c>
      <c r="B1584" s="53" t="s">
        <v>2612</v>
      </c>
      <c r="C1584" s="88" t="s">
        <v>2613</v>
      </c>
      <c r="D1584" s="48" t="s">
        <v>2517</v>
      </c>
      <c r="E1584" s="59">
        <v>166920</v>
      </c>
      <c r="F1584" s="60"/>
      <c r="G1584" s="61"/>
    </row>
    <row r="1585" spans="1:11" s="82" customFormat="1" ht="12.75" x14ac:dyDescent="0.25">
      <c r="A1585" s="28">
        <f t="shared" si="42"/>
        <v>1510</v>
      </c>
      <c r="B1585" s="87" t="s">
        <v>2614</v>
      </c>
      <c r="C1585" s="88" t="s">
        <v>2615</v>
      </c>
      <c r="D1585" s="48" t="s">
        <v>2517</v>
      </c>
      <c r="E1585" s="59">
        <v>128400</v>
      </c>
      <c r="F1585" s="60"/>
      <c r="G1585" s="61"/>
      <c r="K1585" s="62"/>
    </row>
    <row r="1586" spans="1:11" s="62" customFormat="1" ht="25.5" x14ac:dyDescent="0.25">
      <c r="A1586" s="28">
        <f t="shared" si="42"/>
        <v>1511</v>
      </c>
      <c r="B1586" s="29" t="s">
        <v>2616</v>
      </c>
      <c r="C1586" s="88" t="s">
        <v>2617</v>
      </c>
      <c r="D1586" s="48" t="s">
        <v>2517</v>
      </c>
      <c r="E1586" s="59">
        <v>192600</v>
      </c>
      <c r="F1586" s="60"/>
      <c r="G1586" s="61"/>
      <c r="H1586" s="82"/>
      <c r="I1586" s="82"/>
      <c r="J1586" s="82"/>
    </row>
    <row r="1587" spans="1:11" s="62" customFormat="1" ht="25.5" x14ac:dyDescent="0.25">
      <c r="A1587" s="28">
        <f t="shared" si="42"/>
        <v>1512</v>
      </c>
      <c r="B1587" s="78" t="s">
        <v>2618</v>
      </c>
      <c r="C1587" s="90" t="s">
        <v>2603</v>
      </c>
      <c r="D1587" s="70" t="s">
        <v>438</v>
      </c>
      <c r="E1587" s="59">
        <v>487920</v>
      </c>
      <c r="F1587" s="60"/>
      <c r="G1587" s="61"/>
      <c r="H1587" s="82"/>
      <c r="I1587" s="82"/>
      <c r="J1587" s="82"/>
    </row>
    <row r="1588" spans="1:11" s="62" customFormat="1" ht="12.75" x14ac:dyDescent="0.25">
      <c r="A1588" s="28">
        <f t="shared" si="42"/>
        <v>1513</v>
      </c>
      <c r="B1588" s="87" t="s">
        <v>2619</v>
      </c>
      <c r="C1588" s="88" t="s">
        <v>2620</v>
      </c>
      <c r="D1588" s="48" t="s">
        <v>2517</v>
      </c>
      <c r="E1588" s="59">
        <v>128400</v>
      </c>
      <c r="F1588" s="60"/>
      <c r="G1588" s="61"/>
      <c r="H1588" s="82"/>
      <c r="I1588" s="82"/>
      <c r="J1588" s="82"/>
    </row>
    <row r="1589" spans="1:11" s="62" customFormat="1" ht="12.75" x14ac:dyDescent="0.25">
      <c r="A1589" s="28">
        <f t="shared" si="42"/>
        <v>1514</v>
      </c>
      <c r="B1589" s="87" t="s">
        <v>2621</v>
      </c>
      <c r="C1589" s="88" t="s">
        <v>2622</v>
      </c>
      <c r="D1589" s="48" t="s">
        <v>2517</v>
      </c>
      <c r="E1589" s="59">
        <v>154080</v>
      </c>
      <c r="F1589" s="60"/>
      <c r="G1589" s="61"/>
      <c r="H1589" s="82"/>
      <c r="I1589" s="82"/>
      <c r="J1589" s="82"/>
      <c r="K1589" s="82"/>
    </row>
    <row r="1590" spans="1:11" s="62" customFormat="1" ht="12.75" x14ac:dyDescent="0.25">
      <c r="A1590" s="28">
        <f t="shared" si="42"/>
        <v>1515</v>
      </c>
      <c r="B1590" s="78" t="s">
        <v>2623</v>
      </c>
      <c r="C1590" s="78"/>
      <c r="D1590" s="70" t="s">
        <v>356</v>
      </c>
      <c r="E1590" s="59">
        <v>5160</v>
      </c>
      <c r="F1590" s="60"/>
      <c r="G1590" s="61"/>
      <c r="K1590" s="82"/>
    </row>
    <row r="1591" spans="1:11" s="82" customFormat="1" ht="38.25" x14ac:dyDescent="0.25">
      <c r="A1591" s="28">
        <f t="shared" si="42"/>
        <v>1516</v>
      </c>
      <c r="B1591" s="53" t="s">
        <v>2624</v>
      </c>
      <c r="C1591" s="88" t="s">
        <v>2617</v>
      </c>
      <c r="D1591" s="48" t="s">
        <v>2517</v>
      </c>
      <c r="E1591" s="59">
        <v>192600</v>
      </c>
      <c r="F1591" s="60"/>
      <c r="G1591" s="61"/>
      <c r="H1591" s="62"/>
      <c r="I1591" s="62"/>
      <c r="J1591" s="62"/>
    </row>
    <row r="1592" spans="1:11" s="82" customFormat="1" ht="25.5" x14ac:dyDescent="0.25">
      <c r="A1592" s="28">
        <f>A1591+1</f>
        <v>1517</v>
      </c>
      <c r="B1592" s="29" t="s">
        <v>2625</v>
      </c>
      <c r="C1592" s="88" t="s">
        <v>2626</v>
      </c>
      <c r="D1592" s="48" t="s">
        <v>2517</v>
      </c>
      <c r="E1592" s="59">
        <v>128400</v>
      </c>
      <c r="F1592" s="60"/>
      <c r="G1592" s="61"/>
      <c r="H1592" s="62"/>
      <c r="I1592" s="62"/>
      <c r="J1592" s="62"/>
    </row>
    <row r="1593" spans="1:11" s="82" customFormat="1" ht="12.75" x14ac:dyDescent="0.25">
      <c r="A1593" s="28">
        <f t="shared" si="42"/>
        <v>1518</v>
      </c>
      <c r="B1593" s="53" t="s">
        <v>2627</v>
      </c>
      <c r="C1593" s="88" t="s">
        <v>2628</v>
      </c>
      <c r="D1593" s="48" t="s">
        <v>2517</v>
      </c>
      <c r="E1593" s="59">
        <v>128400</v>
      </c>
      <c r="F1593" s="60"/>
      <c r="G1593" s="61"/>
      <c r="H1593" s="62"/>
      <c r="I1593" s="62"/>
      <c r="J1593" s="62"/>
    </row>
    <row r="1594" spans="1:11" s="82" customFormat="1" ht="12.75" x14ac:dyDescent="0.25">
      <c r="A1594" s="28">
        <f t="shared" si="42"/>
        <v>1519</v>
      </c>
      <c r="B1594" s="29" t="s">
        <v>2629</v>
      </c>
      <c r="C1594" s="88" t="s">
        <v>2630</v>
      </c>
      <c r="D1594" s="48" t="s">
        <v>467</v>
      </c>
      <c r="E1594" s="59">
        <v>32160</v>
      </c>
      <c r="F1594" s="60"/>
      <c r="G1594" s="61"/>
      <c r="H1594" s="62"/>
      <c r="I1594" s="62"/>
      <c r="J1594" s="62"/>
    </row>
    <row r="1595" spans="1:11" s="82" customFormat="1" ht="12.75" x14ac:dyDescent="0.25">
      <c r="A1595" s="28">
        <f t="shared" si="42"/>
        <v>1520</v>
      </c>
      <c r="B1595" s="29" t="s">
        <v>2631</v>
      </c>
      <c r="C1595" s="88" t="s">
        <v>2607</v>
      </c>
      <c r="D1595" s="48" t="s">
        <v>467</v>
      </c>
      <c r="E1595" s="59">
        <v>32160</v>
      </c>
      <c r="F1595" s="60"/>
      <c r="G1595" s="61"/>
      <c r="H1595" s="62"/>
      <c r="I1595" s="62"/>
      <c r="J1595" s="62"/>
    </row>
    <row r="1596" spans="1:11" s="82" customFormat="1" ht="25.5" x14ac:dyDescent="0.25">
      <c r="A1596" s="28">
        <f t="shared" si="42"/>
        <v>1521</v>
      </c>
      <c r="B1596" s="29" t="s">
        <v>2632</v>
      </c>
      <c r="C1596" s="88" t="s">
        <v>2607</v>
      </c>
      <c r="D1596" s="48" t="s">
        <v>467</v>
      </c>
      <c r="E1596" s="59">
        <v>89880</v>
      </c>
      <c r="F1596" s="60"/>
      <c r="G1596" s="61"/>
      <c r="H1596" s="62"/>
      <c r="I1596" s="62"/>
      <c r="J1596" s="62"/>
    </row>
    <row r="1597" spans="1:11" s="82" customFormat="1" ht="12.75" x14ac:dyDescent="0.25">
      <c r="A1597" s="28">
        <f t="shared" ref="A1597:A1599" si="43">A1596+1</f>
        <v>1522</v>
      </c>
      <c r="B1597" s="87" t="s">
        <v>2633</v>
      </c>
      <c r="C1597" s="88" t="s">
        <v>2554</v>
      </c>
      <c r="D1597" s="48" t="s">
        <v>2517</v>
      </c>
      <c r="E1597" s="59">
        <v>89880</v>
      </c>
      <c r="F1597" s="60"/>
      <c r="G1597" s="61"/>
      <c r="H1597" s="62"/>
      <c r="I1597" s="62"/>
      <c r="J1597" s="62"/>
    </row>
    <row r="1598" spans="1:11" s="82" customFormat="1" ht="12.75" x14ac:dyDescent="0.25">
      <c r="A1598" s="28">
        <f t="shared" si="43"/>
        <v>1523</v>
      </c>
      <c r="B1598" s="29" t="s">
        <v>2634</v>
      </c>
      <c r="C1598" s="88" t="s">
        <v>2635</v>
      </c>
      <c r="D1598" s="48" t="s">
        <v>467</v>
      </c>
      <c r="E1598" s="59">
        <v>25680</v>
      </c>
      <c r="F1598" s="60"/>
      <c r="G1598" s="61"/>
      <c r="H1598" s="62"/>
      <c r="I1598" s="62"/>
      <c r="J1598" s="62"/>
    </row>
    <row r="1599" spans="1:11" s="82" customFormat="1" ht="25.5" x14ac:dyDescent="0.25">
      <c r="A1599" s="28">
        <f t="shared" si="43"/>
        <v>1524</v>
      </c>
      <c r="B1599" s="29" t="s">
        <v>2636</v>
      </c>
      <c r="C1599" s="88" t="s">
        <v>2637</v>
      </c>
      <c r="D1599" s="48" t="s">
        <v>2517</v>
      </c>
      <c r="E1599" s="59">
        <v>154080</v>
      </c>
      <c r="F1599" s="60"/>
      <c r="G1599" s="61"/>
      <c r="H1599" s="62"/>
      <c r="I1599" s="62"/>
      <c r="J1599" s="62"/>
      <c r="K1599" s="62"/>
    </row>
    <row r="1600" spans="1:11" s="62" customFormat="1" ht="18.75" customHeight="1" x14ac:dyDescent="0.25">
      <c r="A1600" s="136" t="s">
        <v>2638</v>
      </c>
      <c r="B1600" s="137"/>
      <c r="C1600" s="137"/>
      <c r="D1600" s="137"/>
      <c r="E1600" s="138"/>
      <c r="F1600" s="60"/>
      <c r="G1600" s="61"/>
    </row>
    <row r="1601" spans="1:7" s="62" customFormat="1" ht="12.75" x14ac:dyDescent="0.25">
      <c r="A1601" s="28">
        <f>A1599+1</f>
        <v>1525</v>
      </c>
      <c r="B1601" s="42" t="s">
        <v>2639</v>
      </c>
      <c r="C1601" s="33" t="s">
        <v>2640</v>
      </c>
      <c r="D1601" s="43" t="s">
        <v>438</v>
      </c>
      <c r="E1601" s="59">
        <v>14160</v>
      </c>
      <c r="F1601" s="60"/>
      <c r="G1601" s="61"/>
    </row>
    <row r="1602" spans="1:7" s="62" customFormat="1" ht="12.75" x14ac:dyDescent="0.25">
      <c r="A1602" s="28">
        <f>A1601+1</f>
        <v>1526</v>
      </c>
      <c r="B1602" s="78" t="s">
        <v>2641</v>
      </c>
      <c r="C1602" s="92" t="s">
        <v>2642</v>
      </c>
      <c r="D1602" s="70" t="s">
        <v>438</v>
      </c>
      <c r="E1602" s="59">
        <v>321000</v>
      </c>
      <c r="F1602" s="60"/>
      <c r="G1602" s="61"/>
    </row>
    <row r="1603" spans="1:7" s="62" customFormat="1" ht="12.75" x14ac:dyDescent="0.25">
      <c r="A1603" s="28">
        <f>A1602+1</f>
        <v>1527</v>
      </c>
      <c r="B1603" s="42" t="s">
        <v>2643</v>
      </c>
      <c r="C1603" s="93" t="s">
        <v>2644</v>
      </c>
      <c r="D1603" s="43" t="s">
        <v>438</v>
      </c>
      <c r="E1603" s="59">
        <v>256800</v>
      </c>
      <c r="F1603" s="60"/>
      <c r="G1603" s="61"/>
    </row>
    <row r="1604" spans="1:7" s="62" customFormat="1" ht="12.75" x14ac:dyDescent="0.25">
      <c r="A1604" s="28">
        <f t="shared" ref="A1604:A1650" si="44">A1603+1</f>
        <v>1528</v>
      </c>
      <c r="B1604" s="42" t="s">
        <v>2645</v>
      </c>
      <c r="C1604" s="93" t="s">
        <v>2646</v>
      </c>
      <c r="D1604" s="43" t="s">
        <v>438</v>
      </c>
      <c r="E1604" s="59">
        <v>20640</v>
      </c>
      <c r="F1604" s="60"/>
      <c r="G1604" s="61"/>
    </row>
    <row r="1605" spans="1:7" s="62" customFormat="1" ht="12.75" x14ac:dyDescent="0.25">
      <c r="A1605" s="28">
        <f t="shared" si="44"/>
        <v>1529</v>
      </c>
      <c r="B1605" s="92" t="s">
        <v>492</v>
      </c>
      <c r="C1605" s="94" t="s">
        <v>493</v>
      </c>
      <c r="D1605" s="95" t="s">
        <v>356</v>
      </c>
      <c r="E1605" s="59">
        <v>32160</v>
      </c>
      <c r="F1605" s="60"/>
      <c r="G1605" s="61"/>
    </row>
    <row r="1606" spans="1:7" s="62" customFormat="1" ht="12.75" x14ac:dyDescent="0.25">
      <c r="A1606" s="28">
        <f t="shared" si="44"/>
        <v>1530</v>
      </c>
      <c r="B1606" s="42" t="s">
        <v>2647</v>
      </c>
      <c r="C1606" s="29" t="s">
        <v>2648</v>
      </c>
      <c r="D1606" s="43" t="s">
        <v>438</v>
      </c>
      <c r="E1606" s="59">
        <v>295320</v>
      </c>
      <c r="F1606" s="60"/>
      <c r="G1606" s="61"/>
    </row>
    <row r="1607" spans="1:7" s="62" customFormat="1" ht="12.75" x14ac:dyDescent="0.25">
      <c r="A1607" s="28">
        <f t="shared" si="44"/>
        <v>1531</v>
      </c>
      <c r="B1607" s="42" t="s">
        <v>517</v>
      </c>
      <c r="C1607" s="29" t="s">
        <v>518</v>
      </c>
      <c r="D1607" s="43" t="s">
        <v>467</v>
      </c>
      <c r="E1607" s="59">
        <v>15120</v>
      </c>
      <c r="F1607" s="60"/>
      <c r="G1607" s="61"/>
    </row>
    <row r="1608" spans="1:7" s="62" customFormat="1" ht="12.75" x14ac:dyDescent="0.25">
      <c r="A1608" s="28">
        <f t="shared" si="44"/>
        <v>1532</v>
      </c>
      <c r="B1608" s="42" t="s">
        <v>2649</v>
      </c>
      <c r="C1608" s="29" t="s">
        <v>2650</v>
      </c>
      <c r="D1608" s="43" t="s">
        <v>438</v>
      </c>
      <c r="E1608" s="59">
        <v>50160</v>
      </c>
      <c r="F1608" s="60"/>
      <c r="G1608" s="61"/>
    </row>
    <row r="1609" spans="1:7" s="62" customFormat="1" ht="12.75" x14ac:dyDescent="0.25">
      <c r="A1609" s="28">
        <f t="shared" si="44"/>
        <v>1533</v>
      </c>
      <c r="B1609" s="42" t="s">
        <v>2651</v>
      </c>
      <c r="C1609" s="93" t="s">
        <v>502</v>
      </c>
      <c r="D1609" s="43" t="s">
        <v>467</v>
      </c>
      <c r="E1609" s="59">
        <v>2880</v>
      </c>
      <c r="F1609" s="60"/>
      <c r="G1609" s="61"/>
    </row>
    <row r="1610" spans="1:7" s="62" customFormat="1" ht="12.75" x14ac:dyDescent="0.25">
      <c r="A1610" s="28">
        <f t="shared" si="44"/>
        <v>1534</v>
      </c>
      <c r="B1610" s="42" t="s">
        <v>2652</v>
      </c>
      <c r="C1610" s="93" t="s">
        <v>504</v>
      </c>
      <c r="D1610" s="43" t="s">
        <v>467</v>
      </c>
      <c r="E1610" s="59">
        <v>2880</v>
      </c>
      <c r="F1610" s="60"/>
      <c r="G1610" s="61"/>
    </row>
    <row r="1611" spans="1:7" s="62" customFormat="1" ht="12.75" x14ac:dyDescent="0.25">
      <c r="A1611" s="28">
        <f t="shared" si="44"/>
        <v>1535</v>
      </c>
      <c r="B1611" s="42" t="s">
        <v>2653</v>
      </c>
      <c r="C1611" s="93" t="s">
        <v>470</v>
      </c>
      <c r="D1611" s="43" t="s">
        <v>467</v>
      </c>
      <c r="E1611" s="59">
        <v>2880</v>
      </c>
      <c r="F1611" s="60"/>
      <c r="G1611" s="61"/>
    </row>
    <row r="1612" spans="1:7" s="62" customFormat="1" ht="12.75" x14ac:dyDescent="0.25">
      <c r="A1612" s="28">
        <f t="shared" si="44"/>
        <v>1536</v>
      </c>
      <c r="B1612" s="42" t="s">
        <v>496</v>
      </c>
      <c r="C1612" s="93"/>
      <c r="D1612" s="43" t="s">
        <v>467</v>
      </c>
      <c r="E1612" s="59">
        <v>10920</v>
      </c>
      <c r="F1612" s="60"/>
      <c r="G1612" s="61"/>
    </row>
    <row r="1613" spans="1:7" s="62" customFormat="1" ht="12.75" x14ac:dyDescent="0.25">
      <c r="A1613" s="28">
        <f t="shared" si="44"/>
        <v>1537</v>
      </c>
      <c r="B1613" s="42" t="s">
        <v>505</v>
      </c>
      <c r="C1613" s="93"/>
      <c r="D1613" s="43" t="s">
        <v>467</v>
      </c>
      <c r="E1613" s="59">
        <v>3960</v>
      </c>
      <c r="F1613" s="60"/>
      <c r="G1613" s="61"/>
    </row>
    <row r="1614" spans="1:7" s="62" customFormat="1" ht="12.75" x14ac:dyDescent="0.25">
      <c r="A1614" s="28">
        <f t="shared" si="44"/>
        <v>1538</v>
      </c>
      <c r="B1614" s="42" t="s">
        <v>2654</v>
      </c>
      <c r="C1614" s="93" t="s">
        <v>2655</v>
      </c>
      <c r="D1614" s="43" t="s">
        <v>438</v>
      </c>
      <c r="E1614" s="59">
        <v>192600</v>
      </c>
      <c r="F1614" s="60"/>
      <c r="G1614" s="61"/>
    </row>
    <row r="1615" spans="1:7" s="62" customFormat="1" ht="25.5" x14ac:dyDescent="0.25">
      <c r="A1615" s="28">
        <f>A1614+1</f>
        <v>1539</v>
      </c>
      <c r="B1615" s="78" t="s">
        <v>2656</v>
      </c>
      <c r="C1615" s="96" t="str">
        <f>'[2]кальк '!$D$11</f>
        <v>68.61</v>
      </c>
      <c r="D1615" s="70" t="s">
        <v>438</v>
      </c>
      <c r="E1615" s="59">
        <v>513600</v>
      </c>
      <c r="F1615" s="60"/>
      <c r="G1615" s="61"/>
    </row>
    <row r="1616" spans="1:7" s="62" customFormat="1" ht="25.5" x14ac:dyDescent="0.25">
      <c r="A1616" s="28">
        <f>A1615+1</f>
        <v>1540</v>
      </c>
      <c r="B1616" s="42" t="s">
        <v>2657</v>
      </c>
      <c r="C1616" s="93" t="s">
        <v>2658</v>
      </c>
      <c r="D1616" s="43" t="s">
        <v>438</v>
      </c>
      <c r="E1616" s="59">
        <v>83520</v>
      </c>
      <c r="F1616" s="60"/>
      <c r="G1616" s="61"/>
    </row>
    <row r="1617" spans="1:7" s="62" customFormat="1" ht="25.5" x14ac:dyDescent="0.25">
      <c r="A1617" s="28">
        <f t="shared" si="44"/>
        <v>1541</v>
      </c>
      <c r="B1617" s="42" t="s">
        <v>2659</v>
      </c>
      <c r="C1617" s="93" t="s">
        <v>2658</v>
      </c>
      <c r="D1617" s="43" t="s">
        <v>438</v>
      </c>
      <c r="E1617" s="59">
        <v>179760</v>
      </c>
      <c r="F1617" s="60"/>
      <c r="G1617" s="61"/>
    </row>
    <row r="1618" spans="1:7" s="62" customFormat="1" ht="25.5" x14ac:dyDescent="0.25">
      <c r="A1618" s="28">
        <f t="shared" si="44"/>
        <v>1542</v>
      </c>
      <c r="B1618" s="42" t="s">
        <v>2660</v>
      </c>
      <c r="C1618" s="93" t="s">
        <v>2661</v>
      </c>
      <c r="D1618" s="43" t="s">
        <v>438</v>
      </c>
      <c r="E1618" s="59">
        <v>449400</v>
      </c>
      <c r="F1618" s="60"/>
      <c r="G1618" s="61"/>
    </row>
    <row r="1619" spans="1:7" s="62" customFormat="1" ht="25.5" x14ac:dyDescent="0.25">
      <c r="A1619" s="28">
        <f t="shared" si="44"/>
        <v>1543</v>
      </c>
      <c r="B1619" s="42" t="s">
        <v>2662</v>
      </c>
      <c r="C1619" s="93" t="s">
        <v>2658</v>
      </c>
      <c r="D1619" s="43" t="s">
        <v>438</v>
      </c>
      <c r="E1619" s="59">
        <v>166920</v>
      </c>
      <c r="F1619" s="60"/>
      <c r="G1619" s="61"/>
    </row>
    <row r="1620" spans="1:7" s="62" customFormat="1" ht="25.5" x14ac:dyDescent="0.25">
      <c r="A1620" s="28">
        <f t="shared" si="44"/>
        <v>1544</v>
      </c>
      <c r="B1620" s="87" t="s">
        <v>2663</v>
      </c>
      <c r="C1620" s="64" t="s">
        <v>2664</v>
      </c>
      <c r="D1620" s="70" t="s">
        <v>438</v>
      </c>
      <c r="E1620" s="59">
        <v>449400</v>
      </c>
      <c r="F1620" s="60"/>
      <c r="G1620" s="61"/>
    </row>
    <row r="1621" spans="1:7" s="62" customFormat="1" ht="25.5" x14ac:dyDescent="0.25">
      <c r="A1621" s="28">
        <f t="shared" si="44"/>
        <v>1545</v>
      </c>
      <c r="B1621" s="87" t="s">
        <v>2665</v>
      </c>
      <c r="C1621" s="64" t="s">
        <v>2664</v>
      </c>
      <c r="D1621" s="70" t="s">
        <v>438</v>
      </c>
      <c r="E1621" s="59">
        <v>744720</v>
      </c>
      <c r="F1621" s="60"/>
      <c r="G1621" s="61"/>
    </row>
    <row r="1622" spans="1:7" s="62" customFormat="1" ht="12.75" x14ac:dyDescent="0.25">
      <c r="A1622" s="28">
        <f t="shared" si="44"/>
        <v>1546</v>
      </c>
      <c r="B1622" s="42" t="s">
        <v>2666</v>
      </c>
      <c r="C1622" s="93"/>
      <c r="D1622" s="43" t="s">
        <v>438</v>
      </c>
      <c r="E1622" s="59">
        <v>183720</v>
      </c>
      <c r="F1622" s="60"/>
      <c r="G1622" s="61"/>
    </row>
    <row r="1623" spans="1:7" s="62" customFormat="1" ht="25.5" x14ac:dyDescent="0.25">
      <c r="A1623" s="28">
        <f t="shared" si="44"/>
        <v>1547</v>
      </c>
      <c r="B1623" s="42" t="s">
        <v>2667</v>
      </c>
      <c r="C1623" s="93" t="s">
        <v>2658</v>
      </c>
      <c r="D1623" s="43" t="s">
        <v>438</v>
      </c>
      <c r="E1623" s="59">
        <v>372360</v>
      </c>
      <c r="F1623" s="60"/>
      <c r="G1623" s="61"/>
    </row>
    <row r="1624" spans="1:7" s="62" customFormat="1" ht="25.5" x14ac:dyDescent="0.25">
      <c r="A1624" s="28">
        <f t="shared" si="44"/>
        <v>1548</v>
      </c>
      <c r="B1624" s="64" t="s">
        <v>2668</v>
      </c>
      <c r="C1624" s="78" t="s">
        <v>2664</v>
      </c>
      <c r="D1624" s="70" t="s">
        <v>438</v>
      </c>
      <c r="E1624" s="59">
        <v>372360</v>
      </c>
      <c r="F1624" s="60"/>
      <c r="G1624" s="61"/>
    </row>
    <row r="1625" spans="1:7" s="62" customFormat="1" ht="12.75" x14ac:dyDescent="0.25">
      <c r="A1625" s="28">
        <f t="shared" si="44"/>
        <v>1549</v>
      </c>
      <c r="B1625" s="42" t="s">
        <v>2669</v>
      </c>
      <c r="C1625" s="93" t="s">
        <v>2670</v>
      </c>
      <c r="D1625" s="43"/>
      <c r="E1625" s="59">
        <v>33480</v>
      </c>
      <c r="F1625" s="60"/>
      <c r="G1625" s="61"/>
    </row>
    <row r="1626" spans="1:7" s="62" customFormat="1" ht="12.75" x14ac:dyDescent="0.25">
      <c r="A1626" s="28">
        <f t="shared" si="44"/>
        <v>1550</v>
      </c>
      <c r="B1626" s="42" t="s">
        <v>1054</v>
      </c>
      <c r="C1626" s="93" t="s">
        <v>2671</v>
      </c>
      <c r="D1626" s="43" t="s">
        <v>356</v>
      </c>
      <c r="E1626" s="59">
        <v>19320</v>
      </c>
      <c r="F1626" s="60"/>
      <c r="G1626" s="61"/>
    </row>
    <row r="1627" spans="1:7" s="62" customFormat="1" ht="25.5" x14ac:dyDescent="0.25">
      <c r="A1627" s="28">
        <f t="shared" si="44"/>
        <v>1551</v>
      </c>
      <c r="B1627" s="42" t="s">
        <v>2672</v>
      </c>
      <c r="C1627" s="93" t="s">
        <v>2673</v>
      </c>
      <c r="D1627" s="43" t="s">
        <v>438</v>
      </c>
      <c r="E1627" s="59">
        <v>128400</v>
      </c>
      <c r="F1627" s="60"/>
      <c r="G1627" s="61"/>
    </row>
    <row r="1628" spans="1:7" s="62" customFormat="1" ht="12.75" x14ac:dyDescent="0.25">
      <c r="A1628" s="28">
        <f t="shared" si="44"/>
        <v>1552</v>
      </c>
      <c r="B1628" s="42" t="s">
        <v>2674</v>
      </c>
      <c r="C1628" s="93"/>
      <c r="D1628" s="43" t="s">
        <v>467</v>
      </c>
      <c r="E1628" s="59">
        <v>4800</v>
      </c>
      <c r="F1628" s="60"/>
      <c r="G1628" s="61"/>
    </row>
    <row r="1629" spans="1:7" s="62" customFormat="1" ht="12.75" x14ac:dyDescent="0.25">
      <c r="A1629" s="28">
        <f t="shared" si="44"/>
        <v>1553</v>
      </c>
      <c r="B1629" s="97" t="s">
        <v>2675</v>
      </c>
      <c r="C1629" s="98" t="s">
        <v>2676</v>
      </c>
      <c r="D1629" s="99" t="s">
        <v>467</v>
      </c>
      <c r="E1629" s="59">
        <v>3480</v>
      </c>
      <c r="F1629" s="60"/>
      <c r="G1629" s="61"/>
    </row>
    <row r="1630" spans="1:7" s="62" customFormat="1" ht="12.75" x14ac:dyDescent="0.25">
      <c r="A1630" s="28">
        <f>A1629+1</f>
        <v>1554</v>
      </c>
      <c r="B1630" s="42" t="s">
        <v>2677</v>
      </c>
      <c r="C1630" s="93" t="s">
        <v>2678</v>
      </c>
      <c r="D1630" s="43" t="s">
        <v>438</v>
      </c>
      <c r="E1630" s="59">
        <v>256800</v>
      </c>
      <c r="F1630" s="60"/>
      <c r="G1630" s="61"/>
    </row>
    <row r="1631" spans="1:7" s="62" customFormat="1" ht="12.75" x14ac:dyDescent="0.25">
      <c r="A1631" s="28">
        <f t="shared" si="44"/>
        <v>1555</v>
      </c>
      <c r="B1631" s="42" t="s">
        <v>2679</v>
      </c>
      <c r="C1631" s="93" t="s">
        <v>2680</v>
      </c>
      <c r="D1631" s="43" t="s">
        <v>438</v>
      </c>
      <c r="E1631" s="59">
        <v>513600</v>
      </c>
      <c r="F1631" s="60"/>
      <c r="G1631" s="61"/>
    </row>
    <row r="1632" spans="1:7" s="62" customFormat="1" ht="12.75" x14ac:dyDescent="0.25">
      <c r="A1632" s="28">
        <f t="shared" si="44"/>
        <v>1556</v>
      </c>
      <c r="B1632" s="42" t="s">
        <v>2681</v>
      </c>
      <c r="C1632" s="93"/>
      <c r="D1632" s="43" t="s">
        <v>438</v>
      </c>
      <c r="E1632" s="59">
        <v>179760</v>
      </c>
      <c r="F1632" s="60"/>
      <c r="G1632" s="61"/>
    </row>
    <row r="1633" spans="1:7" s="62" customFormat="1" ht="12.75" x14ac:dyDescent="0.25">
      <c r="A1633" s="28">
        <f t="shared" si="44"/>
        <v>1557</v>
      </c>
      <c r="B1633" s="42" t="s">
        <v>2682</v>
      </c>
      <c r="C1633" s="93" t="s">
        <v>2683</v>
      </c>
      <c r="D1633" s="43" t="s">
        <v>438</v>
      </c>
      <c r="E1633" s="59">
        <v>179760</v>
      </c>
      <c r="F1633" s="60"/>
      <c r="G1633" s="61"/>
    </row>
    <row r="1634" spans="1:7" s="62" customFormat="1" ht="25.5" x14ac:dyDescent="0.25">
      <c r="A1634" s="28">
        <f t="shared" si="44"/>
        <v>1558</v>
      </c>
      <c r="B1634" s="42" t="s">
        <v>2684</v>
      </c>
      <c r="C1634" s="93" t="s">
        <v>2685</v>
      </c>
      <c r="D1634" s="43" t="s">
        <v>438</v>
      </c>
      <c r="E1634" s="59">
        <v>179760</v>
      </c>
      <c r="F1634" s="60"/>
      <c r="G1634" s="61"/>
    </row>
    <row r="1635" spans="1:7" s="62" customFormat="1" ht="25.5" x14ac:dyDescent="0.25">
      <c r="A1635" s="28">
        <f t="shared" si="44"/>
        <v>1559</v>
      </c>
      <c r="B1635" s="42" t="s">
        <v>2686</v>
      </c>
      <c r="C1635" s="93" t="s">
        <v>2687</v>
      </c>
      <c r="D1635" s="43" t="s">
        <v>438</v>
      </c>
      <c r="E1635" s="59">
        <v>321000</v>
      </c>
      <c r="F1635" s="60"/>
      <c r="G1635" s="61"/>
    </row>
    <row r="1636" spans="1:7" s="62" customFormat="1" ht="25.5" x14ac:dyDescent="0.25">
      <c r="A1636" s="28">
        <f t="shared" si="44"/>
        <v>1560</v>
      </c>
      <c r="B1636" s="42" t="s">
        <v>2689</v>
      </c>
      <c r="C1636" s="93"/>
      <c r="D1636" s="43" t="s">
        <v>356</v>
      </c>
      <c r="E1636" s="59">
        <v>16080</v>
      </c>
      <c r="F1636" s="60"/>
      <c r="G1636" s="61"/>
    </row>
    <row r="1637" spans="1:7" s="62" customFormat="1" ht="12.75" x14ac:dyDescent="0.25">
      <c r="A1637" s="28">
        <f t="shared" si="44"/>
        <v>1561</v>
      </c>
      <c r="B1637" s="42" t="s">
        <v>2690</v>
      </c>
      <c r="C1637" s="93"/>
      <c r="D1637" s="43" t="s">
        <v>467</v>
      </c>
      <c r="E1637" s="59">
        <v>6120</v>
      </c>
      <c r="F1637" s="60"/>
      <c r="G1637" s="61"/>
    </row>
    <row r="1638" spans="1:7" s="62" customFormat="1" ht="12.75" x14ac:dyDescent="0.25">
      <c r="A1638" s="28">
        <f t="shared" si="44"/>
        <v>1562</v>
      </c>
      <c r="B1638" s="42" t="s">
        <v>530</v>
      </c>
      <c r="C1638" s="93" t="s">
        <v>531</v>
      </c>
      <c r="D1638" s="43" t="s">
        <v>467</v>
      </c>
      <c r="E1638" s="59">
        <v>6360</v>
      </c>
      <c r="F1638" s="60"/>
      <c r="G1638" s="61"/>
    </row>
    <row r="1639" spans="1:7" s="62" customFormat="1" ht="12.75" x14ac:dyDescent="0.25">
      <c r="A1639" s="28">
        <f t="shared" si="44"/>
        <v>1563</v>
      </c>
      <c r="B1639" s="42" t="s">
        <v>2691</v>
      </c>
      <c r="C1639" s="93" t="s">
        <v>2658</v>
      </c>
      <c r="D1639" s="43" t="s">
        <v>438</v>
      </c>
      <c r="E1639" s="59">
        <v>51360</v>
      </c>
      <c r="F1639" s="60"/>
      <c r="G1639" s="61"/>
    </row>
    <row r="1640" spans="1:7" s="62" customFormat="1" ht="26.25" customHeight="1" x14ac:dyDescent="0.25">
      <c r="A1640" s="28">
        <f t="shared" si="44"/>
        <v>1564</v>
      </c>
      <c r="B1640" s="42" t="s">
        <v>2692</v>
      </c>
      <c r="C1640" s="93" t="s">
        <v>2693</v>
      </c>
      <c r="D1640" s="43" t="s">
        <v>438</v>
      </c>
      <c r="E1640" s="59">
        <v>359520</v>
      </c>
      <c r="F1640" s="60"/>
      <c r="G1640" s="61"/>
    </row>
    <row r="1641" spans="1:7" s="62" customFormat="1" ht="20.25" customHeight="1" x14ac:dyDescent="0.25">
      <c r="A1641" s="28">
        <f t="shared" si="44"/>
        <v>1565</v>
      </c>
      <c r="B1641" s="42" t="s">
        <v>2694</v>
      </c>
      <c r="C1641" s="93" t="s">
        <v>2688</v>
      </c>
      <c r="D1641" s="43" t="s">
        <v>438</v>
      </c>
      <c r="E1641" s="59">
        <v>385200</v>
      </c>
      <c r="F1641" s="60"/>
      <c r="G1641" s="61"/>
    </row>
    <row r="1642" spans="1:7" s="62" customFormat="1" ht="25.5" x14ac:dyDescent="0.25">
      <c r="A1642" s="28">
        <f t="shared" si="44"/>
        <v>1566</v>
      </c>
      <c r="B1642" s="42" t="s">
        <v>2695</v>
      </c>
      <c r="C1642" s="93" t="s">
        <v>2680</v>
      </c>
      <c r="D1642" s="43" t="s">
        <v>438</v>
      </c>
      <c r="E1642" s="59">
        <v>449400</v>
      </c>
      <c r="F1642" s="60"/>
      <c r="G1642" s="61"/>
    </row>
    <row r="1643" spans="1:7" s="62" customFormat="1" ht="27.75" customHeight="1" x14ac:dyDescent="0.25">
      <c r="A1643" s="28">
        <f t="shared" si="44"/>
        <v>1567</v>
      </c>
      <c r="B1643" s="42" t="s">
        <v>2696</v>
      </c>
      <c r="C1643" s="93"/>
      <c r="D1643" s="43" t="s">
        <v>356</v>
      </c>
      <c r="E1643" s="59">
        <v>6720</v>
      </c>
      <c r="F1643" s="60"/>
      <c r="G1643" s="61"/>
    </row>
    <row r="1644" spans="1:7" s="62" customFormat="1" ht="27.75" customHeight="1" x14ac:dyDescent="0.25">
      <c r="A1644" s="28">
        <f t="shared" si="44"/>
        <v>1568</v>
      </c>
      <c r="B1644" s="42" t="s">
        <v>2697</v>
      </c>
      <c r="C1644" s="93"/>
      <c r="D1644" s="43" t="s">
        <v>356</v>
      </c>
      <c r="E1644" s="59">
        <v>6720</v>
      </c>
      <c r="F1644" s="60"/>
      <c r="G1644" s="61"/>
    </row>
    <row r="1645" spans="1:7" s="62" customFormat="1" ht="12.75" x14ac:dyDescent="0.25">
      <c r="A1645" s="28">
        <f t="shared" si="44"/>
        <v>1569</v>
      </c>
      <c r="B1645" s="42" t="s">
        <v>2698</v>
      </c>
      <c r="C1645" s="33" t="s">
        <v>2699</v>
      </c>
      <c r="D1645" s="43" t="s">
        <v>438</v>
      </c>
      <c r="E1645" s="59">
        <v>41760</v>
      </c>
      <c r="F1645" s="60"/>
      <c r="G1645" s="61"/>
    </row>
    <row r="1646" spans="1:7" s="62" customFormat="1" ht="12.75" x14ac:dyDescent="0.25">
      <c r="A1646" s="28">
        <f t="shared" si="44"/>
        <v>1570</v>
      </c>
      <c r="B1646" s="42" t="s">
        <v>2700</v>
      </c>
      <c r="C1646" s="33"/>
      <c r="D1646" s="43" t="s">
        <v>438</v>
      </c>
      <c r="E1646" s="59">
        <v>32160</v>
      </c>
      <c r="F1646" s="60"/>
      <c r="G1646" s="61"/>
    </row>
    <row r="1647" spans="1:7" s="62" customFormat="1" ht="12.75" x14ac:dyDescent="0.25">
      <c r="A1647" s="28">
        <f t="shared" si="44"/>
        <v>1571</v>
      </c>
      <c r="B1647" s="42" t="s">
        <v>534</v>
      </c>
      <c r="C1647" s="100" t="s">
        <v>535</v>
      </c>
      <c r="D1647" s="43" t="s">
        <v>467</v>
      </c>
      <c r="E1647" s="59">
        <v>4200</v>
      </c>
      <c r="F1647" s="60"/>
      <c r="G1647" s="61"/>
    </row>
    <row r="1648" spans="1:7" s="62" customFormat="1" ht="25.5" x14ac:dyDescent="0.25">
      <c r="A1648" s="28">
        <f t="shared" si="44"/>
        <v>1572</v>
      </c>
      <c r="B1648" s="42" t="s">
        <v>2701</v>
      </c>
      <c r="C1648" s="100" t="s">
        <v>2702</v>
      </c>
      <c r="D1648" s="43" t="s">
        <v>438</v>
      </c>
      <c r="E1648" s="59">
        <v>51360</v>
      </c>
      <c r="F1648" s="60"/>
      <c r="G1648" s="61"/>
    </row>
    <row r="1649" spans="1:7" s="62" customFormat="1" ht="12.75" x14ac:dyDescent="0.25">
      <c r="A1649" s="28">
        <f t="shared" si="44"/>
        <v>1573</v>
      </c>
      <c r="B1649" s="42" t="s">
        <v>536</v>
      </c>
      <c r="C1649" s="33" t="s">
        <v>537</v>
      </c>
      <c r="D1649" s="43" t="s">
        <v>467</v>
      </c>
      <c r="E1649" s="59">
        <v>10920</v>
      </c>
      <c r="F1649" s="60"/>
      <c r="G1649" s="61"/>
    </row>
    <row r="1650" spans="1:7" s="62" customFormat="1" ht="12.75" x14ac:dyDescent="0.25">
      <c r="A1650" s="28">
        <f t="shared" si="44"/>
        <v>1574</v>
      </c>
      <c r="B1650" s="78" t="s">
        <v>2703</v>
      </c>
      <c r="C1650" s="79" t="s">
        <v>2704</v>
      </c>
      <c r="D1650" s="70" t="s">
        <v>438</v>
      </c>
      <c r="E1650" s="59">
        <v>321000</v>
      </c>
      <c r="F1650" s="60"/>
      <c r="G1650" s="61"/>
    </row>
    <row r="1651" spans="1:7" s="62" customFormat="1" ht="18.75" customHeight="1" x14ac:dyDescent="0.25">
      <c r="A1651" s="139" t="s">
        <v>2705</v>
      </c>
      <c r="B1651" s="140"/>
      <c r="C1651" s="140"/>
      <c r="D1651" s="140"/>
      <c r="E1651" s="141"/>
      <c r="F1651" s="60"/>
      <c r="G1651" s="61"/>
    </row>
    <row r="1652" spans="1:7" s="62" customFormat="1" ht="38.25" x14ac:dyDescent="0.25">
      <c r="A1652" s="28">
        <f>A1650+1</f>
        <v>1575</v>
      </c>
      <c r="B1652" s="33" t="s">
        <v>2706</v>
      </c>
      <c r="C1652" s="33" t="s">
        <v>2707</v>
      </c>
      <c r="D1652" s="28" t="s">
        <v>438</v>
      </c>
      <c r="E1652" s="59">
        <v>52080</v>
      </c>
      <c r="F1652" s="60"/>
      <c r="G1652" s="61"/>
    </row>
    <row r="1653" spans="1:7" s="62" customFormat="1" ht="12.75" x14ac:dyDescent="0.25">
      <c r="A1653" s="28">
        <f>A1652+1</f>
        <v>1576</v>
      </c>
      <c r="B1653" s="33" t="s">
        <v>2708</v>
      </c>
      <c r="C1653" s="33" t="s">
        <v>2709</v>
      </c>
      <c r="D1653" s="28" t="s">
        <v>438</v>
      </c>
      <c r="E1653" s="59">
        <v>26400</v>
      </c>
      <c r="F1653" s="60"/>
      <c r="G1653" s="61"/>
    </row>
    <row r="1654" spans="1:7" s="62" customFormat="1" ht="38.25" x14ac:dyDescent="0.25">
      <c r="A1654" s="28">
        <f t="shared" ref="A1654:A1666" si="45">A1653+1</f>
        <v>1577</v>
      </c>
      <c r="B1654" s="33" t="s">
        <v>2710</v>
      </c>
      <c r="C1654" s="33" t="s">
        <v>2711</v>
      </c>
      <c r="D1654" s="28" t="s">
        <v>438</v>
      </c>
      <c r="E1654" s="59">
        <v>238080</v>
      </c>
      <c r="F1654" s="60"/>
      <c r="G1654" s="61"/>
    </row>
    <row r="1655" spans="1:7" s="62" customFormat="1" ht="25.5" x14ac:dyDescent="0.25">
      <c r="A1655" s="28">
        <f t="shared" si="45"/>
        <v>1578</v>
      </c>
      <c r="B1655" s="33" t="s">
        <v>2712</v>
      </c>
      <c r="C1655" s="33" t="s">
        <v>2713</v>
      </c>
      <c r="D1655" s="28" t="s">
        <v>438</v>
      </c>
      <c r="E1655" s="59">
        <v>350280</v>
      </c>
      <c r="F1655" s="60"/>
      <c r="G1655" s="61"/>
    </row>
    <row r="1656" spans="1:7" s="62" customFormat="1" ht="12.75" x14ac:dyDescent="0.25">
      <c r="A1656" s="28">
        <f t="shared" si="45"/>
        <v>1579</v>
      </c>
      <c r="B1656" s="33" t="s">
        <v>2714</v>
      </c>
      <c r="C1656" s="33" t="s">
        <v>2715</v>
      </c>
      <c r="D1656" s="28" t="s">
        <v>438</v>
      </c>
      <c r="E1656" s="59">
        <v>487920</v>
      </c>
      <c r="F1656" s="60"/>
      <c r="G1656" s="61"/>
    </row>
    <row r="1657" spans="1:7" s="62" customFormat="1" ht="25.5" x14ac:dyDescent="0.25">
      <c r="A1657" s="28">
        <f t="shared" si="45"/>
        <v>1580</v>
      </c>
      <c r="B1657" s="33" t="s">
        <v>2716</v>
      </c>
      <c r="C1657" s="33" t="s">
        <v>2717</v>
      </c>
      <c r="D1657" s="33" t="s">
        <v>438</v>
      </c>
      <c r="E1657" s="59">
        <v>32160</v>
      </c>
      <c r="F1657" s="60"/>
      <c r="G1657" s="61"/>
    </row>
    <row r="1658" spans="1:7" s="62" customFormat="1" ht="25.5" x14ac:dyDescent="0.25">
      <c r="A1658" s="28">
        <f t="shared" si="45"/>
        <v>1581</v>
      </c>
      <c r="B1658" s="33" t="s">
        <v>2718</v>
      </c>
      <c r="C1658" s="33" t="s">
        <v>2717</v>
      </c>
      <c r="D1658" s="33" t="s">
        <v>438</v>
      </c>
      <c r="E1658" s="59">
        <v>51360</v>
      </c>
      <c r="F1658" s="60"/>
      <c r="G1658" s="61"/>
    </row>
    <row r="1659" spans="1:7" s="62" customFormat="1" ht="25.5" x14ac:dyDescent="0.25">
      <c r="A1659" s="28">
        <f t="shared" si="45"/>
        <v>1582</v>
      </c>
      <c r="B1659" s="33" t="s">
        <v>2719</v>
      </c>
      <c r="C1659" s="33" t="s">
        <v>2717</v>
      </c>
      <c r="D1659" s="33" t="s">
        <v>438</v>
      </c>
      <c r="E1659" s="59">
        <v>410880</v>
      </c>
      <c r="F1659" s="60"/>
      <c r="G1659" s="61"/>
    </row>
    <row r="1660" spans="1:7" s="62" customFormat="1" ht="25.5" x14ac:dyDescent="0.25">
      <c r="A1660" s="28">
        <f t="shared" si="45"/>
        <v>1583</v>
      </c>
      <c r="B1660" s="33" t="s">
        <v>2720</v>
      </c>
      <c r="C1660" s="33" t="s">
        <v>2717</v>
      </c>
      <c r="D1660" s="33" t="s">
        <v>438</v>
      </c>
      <c r="E1660" s="59">
        <v>475080</v>
      </c>
      <c r="F1660" s="60"/>
      <c r="G1660" s="61"/>
    </row>
    <row r="1661" spans="1:7" s="62" customFormat="1" ht="25.5" x14ac:dyDescent="0.25">
      <c r="A1661" s="28">
        <f t="shared" si="45"/>
        <v>1584</v>
      </c>
      <c r="B1661" s="33" t="s">
        <v>2721</v>
      </c>
      <c r="C1661" s="33" t="s">
        <v>2722</v>
      </c>
      <c r="D1661" s="33" t="s">
        <v>438</v>
      </c>
      <c r="E1661" s="59">
        <v>834600</v>
      </c>
      <c r="F1661" s="60"/>
      <c r="G1661" s="61"/>
    </row>
    <row r="1662" spans="1:7" s="62" customFormat="1" ht="25.5" x14ac:dyDescent="0.25">
      <c r="A1662" s="28">
        <f t="shared" si="45"/>
        <v>1585</v>
      </c>
      <c r="B1662" s="33" t="s">
        <v>2723</v>
      </c>
      <c r="C1662" s="33" t="s">
        <v>2717</v>
      </c>
      <c r="D1662" s="33" t="s">
        <v>438</v>
      </c>
      <c r="E1662" s="59">
        <v>102720</v>
      </c>
      <c r="F1662" s="60"/>
      <c r="G1662" s="61"/>
    </row>
    <row r="1663" spans="1:7" s="62" customFormat="1" ht="25.5" x14ac:dyDescent="0.25">
      <c r="A1663" s="28">
        <f t="shared" si="45"/>
        <v>1586</v>
      </c>
      <c r="B1663" s="33" t="s">
        <v>2724</v>
      </c>
      <c r="C1663" s="33" t="s">
        <v>2717</v>
      </c>
      <c r="D1663" s="33" t="s">
        <v>438</v>
      </c>
      <c r="E1663" s="59">
        <v>513600</v>
      </c>
      <c r="F1663" s="60"/>
      <c r="G1663" s="61"/>
    </row>
    <row r="1664" spans="1:7" s="62" customFormat="1" ht="25.5" x14ac:dyDescent="0.25">
      <c r="A1664" s="28">
        <f t="shared" si="45"/>
        <v>1587</v>
      </c>
      <c r="B1664" s="33" t="s">
        <v>2725</v>
      </c>
      <c r="C1664" s="33" t="s">
        <v>2717</v>
      </c>
      <c r="D1664" s="33" t="s">
        <v>438</v>
      </c>
      <c r="E1664" s="59">
        <v>577800</v>
      </c>
      <c r="F1664" s="60"/>
      <c r="G1664" s="61"/>
    </row>
    <row r="1665" spans="1:7" s="62" customFormat="1" ht="25.5" x14ac:dyDescent="0.25">
      <c r="A1665" s="28">
        <f t="shared" si="45"/>
        <v>1588</v>
      </c>
      <c r="B1665" s="33" t="s">
        <v>2726</v>
      </c>
      <c r="C1665" s="33" t="s">
        <v>2717</v>
      </c>
      <c r="D1665" s="33" t="s">
        <v>438</v>
      </c>
      <c r="E1665" s="59">
        <v>128400</v>
      </c>
      <c r="F1665" s="60"/>
      <c r="G1665" s="61"/>
    </row>
    <row r="1666" spans="1:7" s="62" customFormat="1" ht="12.75" x14ac:dyDescent="0.25">
      <c r="A1666" s="28">
        <f t="shared" si="45"/>
        <v>1589</v>
      </c>
      <c r="B1666" s="33" t="s">
        <v>2727</v>
      </c>
      <c r="C1666" s="33" t="s">
        <v>2717</v>
      </c>
      <c r="D1666" s="33" t="s">
        <v>438</v>
      </c>
      <c r="E1666" s="59">
        <v>12840</v>
      </c>
      <c r="F1666" s="60"/>
      <c r="G1666" s="61"/>
    </row>
    <row r="1667" spans="1:7" s="62" customFormat="1" ht="18.75" customHeight="1" x14ac:dyDescent="0.25">
      <c r="A1667" s="139" t="s">
        <v>2728</v>
      </c>
      <c r="B1667" s="140"/>
      <c r="C1667" s="140"/>
      <c r="D1667" s="140"/>
      <c r="E1667" s="141"/>
      <c r="F1667" s="60"/>
      <c r="G1667" s="61"/>
    </row>
    <row r="1668" spans="1:7" s="62" customFormat="1" ht="12.75" x14ac:dyDescent="0.2">
      <c r="A1668" s="28">
        <f>A1666+1</f>
        <v>1590</v>
      </c>
      <c r="B1668" s="101" t="s">
        <v>2729</v>
      </c>
      <c r="C1668" s="101" t="s">
        <v>2730</v>
      </c>
      <c r="D1668" s="28" t="s">
        <v>438</v>
      </c>
      <c r="E1668" s="59">
        <v>1332240</v>
      </c>
      <c r="F1668" s="60"/>
      <c r="G1668" s="61"/>
    </row>
    <row r="1669" spans="1:7" s="62" customFormat="1" ht="25.5" x14ac:dyDescent="0.2">
      <c r="A1669" s="28">
        <f>A1668+1</f>
        <v>1591</v>
      </c>
      <c r="B1669" s="101" t="s">
        <v>2731</v>
      </c>
      <c r="C1669" s="101" t="s">
        <v>2732</v>
      </c>
      <c r="D1669" s="28" t="s">
        <v>438</v>
      </c>
      <c r="E1669" s="59">
        <v>2446080</v>
      </c>
      <c r="F1669" s="60"/>
      <c r="G1669" s="61"/>
    </row>
    <row r="1670" spans="1:7" s="62" customFormat="1" ht="25.5" x14ac:dyDescent="0.2">
      <c r="A1670" s="28">
        <f t="shared" ref="A1670:A1680" si="46">A1669+1</f>
        <v>1592</v>
      </c>
      <c r="B1670" s="101" t="s">
        <v>2733</v>
      </c>
      <c r="C1670" s="101" t="s">
        <v>2734</v>
      </c>
      <c r="D1670" s="28" t="s">
        <v>438</v>
      </c>
      <c r="E1670" s="59">
        <v>2452440</v>
      </c>
      <c r="F1670" s="60"/>
      <c r="G1670" s="61"/>
    </row>
    <row r="1671" spans="1:7" s="62" customFormat="1" ht="12.75" x14ac:dyDescent="0.2">
      <c r="A1671" s="28">
        <f t="shared" si="46"/>
        <v>1593</v>
      </c>
      <c r="B1671" s="101" t="s">
        <v>2735</v>
      </c>
      <c r="C1671" s="101" t="s">
        <v>2736</v>
      </c>
      <c r="D1671" s="28" t="s">
        <v>438</v>
      </c>
      <c r="E1671" s="59">
        <v>2461440</v>
      </c>
      <c r="F1671" s="60"/>
      <c r="G1671" s="61"/>
    </row>
    <row r="1672" spans="1:7" s="62" customFormat="1" ht="12.75" x14ac:dyDescent="0.2">
      <c r="A1672" s="28">
        <f t="shared" si="46"/>
        <v>1594</v>
      </c>
      <c r="B1672" s="101" t="s">
        <v>2737</v>
      </c>
      <c r="C1672" s="101" t="s">
        <v>2738</v>
      </c>
      <c r="D1672" s="28" t="s">
        <v>438</v>
      </c>
      <c r="E1672" s="59">
        <v>2638680</v>
      </c>
      <c r="F1672" s="60"/>
      <c r="G1672" s="61"/>
    </row>
    <row r="1673" spans="1:7" s="62" customFormat="1" ht="25.5" x14ac:dyDescent="0.2">
      <c r="A1673" s="28">
        <f t="shared" si="46"/>
        <v>1595</v>
      </c>
      <c r="B1673" s="101" t="s">
        <v>2739</v>
      </c>
      <c r="C1673" s="101" t="s">
        <v>2740</v>
      </c>
      <c r="D1673" s="28" t="s">
        <v>438</v>
      </c>
      <c r="E1673" s="59">
        <v>2558400</v>
      </c>
      <c r="F1673" s="60"/>
      <c r="G1673" s="61"/>
    </row>
    <row r="1674" spans="1:7" s="62" customFormat="1" ht="25.5" x14ac:dyDescent="0.2">
      <c r="A1674" s="28">
        <f t="shared" si="46"/>
        <v>1596</v>
      </c>
      <c r="B1674" s="101" t="s">
        <v>2741</v>
      </c>
      <c r="C1674" s="101" t="s">
        <v>2742</v>
      </c>
      <c r="D1674" s="28" t="s">
        <v>438</v>
      </c>
      <c r="E1674" s="59">
        <v>2462160</v>
      </c>
      <c r="F1674" s="60"/>
      <c r="G1674" s="61"/>
    </row>
    <row r="1675" spans="1:7" s="62" customFormat="1" ht="30" customHeight="1" x14ac:dyDescent="0.2">
      <c r="A1675" s="28">
        <f t="shared" si="46"/>
        <v>1597</v>
      </c>
      <c r="B1675" s="101" t="s">
        <v>2743</v>
      </c>
      <c r="C1675" s="101" t="s">
        <v>2744</v>
      </c>
      <c r="D1675" s="28" t="s">
        <v>438</v>
      </c>
      <c r="E1675" s="59">
        <v>2439600</v>
      </c>
      <c r="F1675" s="60"/>
      <c r="G1675" s="61"/>
    </row>
    <row r="1676" spans="1:7" s="62" customFormat="1" ht="30" customHeight="1" x14ac:dyDescent="0.2">
      <c r="A1676" s="28">
        <f t="shared" si="46"/>
        <v>1598</v>
      </c>
      <c r="B1676" s="101" t="s">
        <v>2745</v>
      </c>
      <c r="C1676" s="101" t="s">
        <v>2746</v>
      </c>
      <c r="D1676" s="28" t="s">
        <v>438</v>
      </c>
      <c r="E1676" s="59">
        <v>2311200</v>
      </c>
      <c r="F1676" s="60"/>
      <c r="G1676" s="61"/>
    </row>
    <row r="1677" spans="1:7" s="62" customFormat="1" ht="38.25" x14ac:dyDescent="0.2">
      <c r="A1677" s="28">
        <f t="shared" si="46"/>
        <v>1599</v>
      </c>
      <c r="B1677" s="101" t="s">
        <v>2747</v>
      </c>
      <c r="C1677" s="101" t="s">
        <v>2748</v>
      </c>
      <c r="D1677" s="28" t="s">
        <v>438</v>
      </c>
      <c r="E1677" s="59">
        <v>2801760</v>
      </c>
      <c r="F1677" s="60"/>
      <c r="G1677" s="61"/>
    </row>
    <row r="1678" spans="1:7" s="62" customFormat="1" ht="25.5" x14ac:dyDescent="0.2">
      <c r="A1678" s="28">
        <f t="shared" si="46"/>
        <v>1600</v>
      </c>
      <c r="B1678" s="101" t="s">
        <v>2749</v>
      </c>
      <c r="C1678" s="101" t="s">
        <v>2750</v>
      </c>
      <c r="D1678" s="28" t="s">
        <v>438</v>
      </c>
      <c r="E1678" s="59">
        <v>1874640</v>
      </c>
      <c r="F1678" s="60"/>
      <c r="G1678" s="61"/>
    </row>
    <row r="1679" spans="1:7" s="62" customFormat="1" ht="14.25" customHeight="1" x14ac:dyDescent="0.2">
      <c r="A1679" s="28">
        <f t="shared" si="46"/>
        <v>1601</v>
      </c>
      <c r="B1679" s="101" t="s">
        <v>2751</v>
      </c>
      <c r="C1679" s="101" t="s">
        <v>2752</v>
      </c>
      <c r="D1679" s="28" t="s">
        <v>438</v>
      </c>
      <c r="E1679" s="59">
        <v>1185240</v>
      </c>
      <c r="F1679" s="60"/>
      <c r="G1679" s="61"/>
    </row>
    <row r="1680" spans="1:7" s="62" customFormat="1" ht="14.25" customHeight="1" x14ac:dyDescent="0.2">
      <c r="A1680" s="28">
        <f t="shared" si="46"/>
        <v>1602</v>
      </c>
      <c r="B1680" s="101" t="s">
        <v>2753</v>
      </c>
      <c r="C1680" s="101" t="s">
        <v>2754</v>
      </c>
      <c r="D1680" s="28" t="s">
        <v>438</v>
      </c>
      <c r="E1680" s="59">
        <v>1605000</v>
      </c>
      <c r="F1680" s="60"/>
      <c r="G1680" s="61"/>
    </row>
    <row r="1681" spans="1:7" s="62" customFormat="1" ht="18.75" customHeight="1" x14ac:dyDescent="0.25">
      <c r="A1681" s="136" t="s">
        <v>2755</v>
      </c>
      <c r="B1681" s="137"/>
      <c r="C1681" s="137"/>
      <c r="D1681" s="137"/>
      <c r="E1681" s="138"/>
      <c r="F1681" s="60"/>
      <c r="G1681" s="61"/>
    </row>
    <row r="1682" spans="1:7" s="62" customFormat="1" ht="12.75" x14ac:dyDescent="0.2">
      <c r="A1682" s="28">
        <f>A1680+1</f>
        <v>1603</v>
      </c>
      <c r="B1682" s="102" t="s">
        <v>2756</v>
      </c>
      <c r="C1682" s="102" t="s">
        <v>2757</v>
      </c>
      <c r="D1682" s="28" t="s">
        <v>490</v>
      </c>
      <c r="E1682" s="59">
        <v>6840</v>
      </c>
      <c r="F1682" s="60"/>
      <c r="G1682" s="61"/>
    </row>
    <row r="1683" spans="1:7" s="62" customFormat="1" ht="12.75" x14ac:dyDescent="0.2">
      <c r="A1683" s="28">
        <f>A1682+1</f>
        <v>1604</v>
      </c>
      <c r="B1683" s="102" t="s">
        <v>2758</v>
      </c>
      <c r="C1683" s="102" t="s">
        <v>2759</v>
      </c>
      <c r="D1683" s="28" t="s">
        <v>490</v>
      </c>
      <c r="E1683" s="59">
        <v>12840</v>
      </c>
      <c r="F1683" s="60"/>
      <c r="G1683" s="61"/>
    </row>
    <row r="1684" spans="1:7" s="62" customFormat="1" ht="12.75" x14ac:dyDescent="0.2">
      <c r="A1684" s="28">
        <f>A1683+1</f>
        <v>1605</v>
      </c>
      <c r="B1684" s="102" t="s">
        <v>3144</v>
      </c>
      <c r="C1684" s="118"/>
      <c r="D1684" s="28" t="s">
        <v>490</v>
      </c>
      <c r="E1684" s="117">
        <v>15240</v>
      </c>
      <c r="F1684" s="60"/>
      <c r="G1684" s="61"/>
    </row>
    <row r="1685" spans="1:7" s="62" customFormat="1" ht="18.75" customHeight="1" x14ac:dyDescent="0.25">
      <c r="A1685" s="139" t="s">
        <v>2760</v>
      </c>
      <c r="B1685" s="140"/>
      <c r="C1685" s="140"/>
      <c r="D1685" s="140"/>
      <c r="E1685" s="141"/>
      <c r="F1685" s="60"/>
      <c r="G1685" s="61"/>
    </row>
    <row r="1686" spans="1:7" s="62" customFormat="1" ht="12.75" x14ac:dyDescent="0.25">
      <c r="A1686" s="28">
        <f>A1684+1</f>
        <v>1606</v>
      </c>
      <c r="B1686" s="29" t="s">
        <v>2761</v>
      </c>
      <c r="C1686" s="29" t="s">
        <v>2762</v>
      </c>
      <c r="D1686" s="28" t="s">
        <v>438</v>
      </c>
      <c r="E1686" s="59">
        <v>263280</v>
      </c>
      <c r="F1686" s="60"/>
      <c r="G1686" s="61"/>
    </row>
    <row r="1687" spans="1:7" s="62" customFormat="1" ht="12.75" x14ac:dyDescent="0.25">
      <c r="A1687" s="28">
        <f>A1686+1</f>
        <v>1607</v>
      </c>
      <c r="B1687" s="29" t="s">
        <v>2763</v>
      </c>
      <c r="C1687" s="29" t="s">
        <v>2764</v>
      </c>
      <c r="D1687" s="28" t="s">
        <v>438</v>
      </c>
      <c r="E1687" s="59">
        <v>256800</v>
      </c>
      <c r="F1687" s="60"/>
      <c r="G1687" s="61"/>
    </row>
    <row r="1688" spans="1:7" s="62" customFormat="1" ht="12.75" x14ac:dyDescent="0.2">
      <c r="A1688" s="28">
        <f t="shared" ref="A1688:A1699" si="47">A1687+1</f>
        <v>1608</v>
      </c>
      <c r="B1688" s="102" t="s">
        <v>2765</v>
      </c>
      <c r="C1688" s="101" t="s">
        <v>2717</v>
      </c>
      <c r="D1688" s="28" t="s">
        <v>438</v>
      </c>
      <c r="E1688" s="59">
        <v>197040</v>
      </c>
      <c r="F1688" s="60"/>
      <c r="G1688" s="61"/>
    </row>
    <row r="1689" spans="1:7" s="62" customFormat="1" ht="12.75" x14ac:dyDescent="0.25">
      <c r="A1689" s="28">
        <f t="shared" si="47"/>
        <v>1609</v>
      </c>
      <c r="B1689" s="29" t="s">
        <v>2766</v>
      </c>
      <c r="C1689" s="29" t="s">
        <v>2205</v>
      </c>
      <c r="D1689" s="28" t="s">
        <v>438</v>
      </c>
      <c r="E1689" s="59">
        <v>437640</v>
      </c>
      <c r="F1689" s="60"/>
      <c r="G1689" s="61"/>
    </row>
    <row r="1690" spans="1:7" s="62" customFormat="1" ht="12.75" x14ac:dyDescent="0.25">
      <c r="A1690" s="28">
        <f t="shared" si="47"/>
        <v>1610</v>
      </c>
      <c r="B1690" s="29" t="s">
        <v>2767</v>
      </c>
      <c r="C1690" s="29" t="s">
        <v>2768</v>
      </c>
      <c r="D1690" s="28" t="s">
        <v>438</v>
      </c>
      <c r="E1690" s="59">
        <v>378840</v>
      </c>
      <c r="F1690" s="60"/>
      <c r="G1690" s="61"/>
    </row>
    <row r="1691" spans="1:7" s="62" customFormat="1" ht="19.5" customHeight="1" x14ac:dyDescent="0.25">
      <c r="A1691" s="28">
        <f t="shared" si="47"/>
        <v>1611</v>
      </c>
      <c r="B1691" s="29" t="s">
        <v>2769</v>
      </c>
      <c r="C1691" s="29" t="s">
        <v>2770</v>
      </c>
      <c r="D1691" s="28" t="s">
        <v>438</v>
      </c>
      <c r="E1691" s="59">
        <v>321000</v>
      </c>
      <c r="F1691" s="60"/>
      <c r="G1691" s="61"/>
    </row>
    <row r="1692" spans="1:7" s="62" customFormat="1" ht="25.5" x14ac:dyDescent="0.25">
      <c r="A1692" s="28">
        <f t="shared" si="47"/>
        <v>1612</v>
      </c>
      <c r="B1692" s="29" t="s">
        <v>2771</v>
      </c>
      <c r="C1692" s="29" t="s">
        <v>2772</v>
      </c>
      <c r="D1692" s="28" t="s">
        <v>438</v>
      </c>
      <c r="E1692" s="59">
        <v>642000</v>
      </c>
      <c r="F1692" s="60"/>
      <c r="G1692" s="61"/>
    </row>
    <row r="1693" spans="1:7" s="62" customFormat="1" ht="12.75" x14ac:dyDescent="0.25">
      <c r="A1693" s="28">
        <f t="shared" si="47"/>
        <v>1613</v>
      </c>
      <c r="B1693" s="29" t="s">
        <v>2773</v>
      </c>
      <c r="C1693" s="29" t="s">
        <v>2774</v>
      </c>
      <c r="D1693" s="28" t="s">
        <v>438</v>
      </c>
      <c r="E1693" s="59">
        <v>642000</v>
      </c>
      <c r="F1693" s="60"/>
      <c r="G1693" s="61"/>
    </row>
    <row r="1694" spans="1:7" s="62" customFormat="1" ht="12.75" x14ac:dyDescent="0.25">
      <c r="A1694" s="28">
        <f t="shared" si="47"/>
        <v>1614</v>
      </c>
      <c r="B1694" s="29" t="s">
        <v>2775</v>
      </c>
      <c r="C1694" s="29" t="s">
        <v>2776</v>
      </c>
      <c r="D1694" s="28" t="s">
        <v>438</v>
      </c>
      <c r="E1694" s="59">
        <v>642000</v>
      </c>
      <c r="F1694" s="60"/>
      <c r="G1694" s="61"/>
    </row>
    <row r="1695" spans="1:7" s="62" customFormat="1" ht="12.75" x14ac:dyDescent="0.25">
      <c r="A1695" s="28">
        <f t="shared" si="47"/>
        <v>1615</v>
      </c>
      <c r="B1695" s="29" t="s">
        <v>2777</v>
      </c>
      <c r="C1695" s="29" t="s">
        <v>2778</v>
      </c>
      <c r="D1695" s="28" t="s">
        <v>438</v>
      </c>
      <c r="E1695" s="59">
        <v>898800</v>
      </c>
      <c r="F1695" s="60"/>
      <c r="G1695" s="61"/>
    </row>
    <row r="1696" spans="1:7" s="62" customFormat="1" ht="12.75" x14ac:dyDescent="0.25">
      <c r="A1696" s="28">
        <f t="shared" si="47"/>
        <v>1616</v>
      </c>
      <c r="B1696" s="29" t="s">
        <v>2779</v>
      </c>
      <c r="C1696" s="29" t="s">
        <v>2780</v>
      </c>
      <c r="D1696" s="28" t="s">
        <v>438</v>
      </c>
      <c r="E1696" s="59">
        <v>1926000</v>
      </c>
      <c r="F1696" s="60"/>
      <c r="G1696" s="61"/>
    </row>
    <row r="1697" spans="1:7" s="62" customFormat="1" ht="25.5" x14ac:dyDescent="0.25">
      <c r="A1697" s="28">
        <f t="shared" si="47"/>
        <v>1617</v>
      </c>
      <c r="B1697" s="29" t="s">
        <v>2781</v>
      </c>
      <c r="C1697" s="29" t="s">
        <v>2782</v>
      </c>
      <c r="D1697" s="28" t="s">
        <v>438</v>
      </c>
      <c r="E1697" s="59">
        <v>781320</v>
      </c>
      <c r="F1697" s="60"/>
      <c r="G1697" s="61"/>
    </row>
    <row r="1698" spans="1:7" s="62" customFormat="1" ht="12.75" x14ac:dyDescent="0.25">
      <c r="A1698" s="28">
        <f t="shared" si="47"/>
        <v>1618</v>
      </c>
      <c r="B1698" s="29" t="s">
        <v>2783</v>
      </c>
      <c r="C1698" s="29" t="s">
        <v>2784</v>
      </c>
      <c r="D1698" s="28" t="s">
        <v>438</v>
      </c>
      <c r="E1698" s="59">
        <v>770400</v>
      </c>
      <c r="F1698" s="60"/>
      <c r="G1698" s="61"/>
    </row>
    <row r="1699" spans="1:7" s="62" customFormat="1" ht="25.5" x14ac:dyDescent="0.25">
      <c r="A1699" s="28">
        <f t="shared" si="47"/>
        <v>1619</v>
      </c>
      <c r="B1699" s="29" t="s">
        <v>2785</v>
      </c>
      <c r="C1699" s="29" t="s">
        <v>2786</v>
      </c>
      <c r="D1699" s="28" t="s">
        <v>438</v>
      </c>
      <c r="E1699" s="59">
        <v>898800</v>
      </c>
      <c r="F1699" s="60"/>
      <c r="G1699" s="61"/>
    </row>
    <row r="1700" spans="1:7" s="62" customFormat="1" ht="14.25" customHeight="1" x14ac:dyDescent="0.25">
      <c r="A1700" s="154" t="s">
        <v>2787</v>
      </c>
      <c r="B1700" s="155"/>
      <c r="C1700" s="155"/>
      <c r="D1700" s="155"/>
      <c r="E1700" s="156"/>
      <c r="F1700" s="60"/>
      <c r="G1700" s="61"/>
    </row>
    <row r="1701" spans="1:7" s="62" customFormat="1" ht="12.75" x14ac:dyDescent="0.25">
      <c r="A1701" s="28">
        <f>A1699+1</f>
        <v>1620</v>
      </c>
      <c r="B1701" s="33" t="s">
        <v>2788</v>
      </c>
      <c r="C1701" s="33" t="s">
        <v>2789</v>
      </c>
      <c r="D1701" s="28" t="s">
        <v>438</v>
      </c>
      <c r="E1701" s="59">
        <v>1152240</v>
      </c>
      <c r="F1701" s="60"/>
      <c r="G1701" s="61"/>
    </row>
    <row r="1702" spans="1:7" s="62" customFormat="1" ht="12.75" x14ac:dyDescent="0.25">
      <c r="A1702" s="28">
        <f t="shared" ref="A1702:A1707" si="48">A1701+1</f>
        <v>1621</v>
      </c>
      <c r="B1702" s="33" t="s">
        <v>2790</v>
      </c>
      <c r="C1702" s="33" t="s">
        <v>2791</v>
      </c>
      <c r="D1702" s="28" t="s">
        <v>438</v>
      </c>
      <c r="E1702" s="59">
        <v>1464600</v>
      </c>
      <c r="F1702" s="60"/>
      <c r="G1702" s="61"/>
    </row>
    <row r="1703" spans="1:7" s="62" customFormat="1" ht="12.75" x14ac:dyDescent="0.25">
      <c r="A1703" s="28">
        <f t="shared" si="48"/>
        <v>1622</v>
      </c>
      <c r="B1703" s="33" t="s">
        <v>2792</v>
      </c>
      <c r="C1703" s="33" t="s">
        <v>2793</v>
      </c>
      <c r="D1703" s="28" t="s">
        <v>438</v>
      </c>
      <c r="E1703" s="59">
        <v>1090080</v>
      </c>
      <c r="F1703" s="60"/>
      <c r="G1703" s="61"/>
    </row>
    <row r="1704" spans="1:7" s="62" customFormat="1" ht="25.5" x14ac:dyDescent="0.25">
      <c r="A1704" s="28">
        <f t="shared" si="48"/>
        <v>1623</v>
      </c>
      <c r="B1704" s="33" t="s">
        <v>2794</v>
      </c>
      <c r="C1704" s="33" t="s">
        <v>2795</v>
      </c>
      <c r="D1704" s="28" t="s">
        <v>438</v>
      </c>
      <c r="E1704" s="59">
        <v>1134120</v>
      </c>
      <c r="F1704" s="60"/>
      <c r="G1704" s="61"/>
    </row>
    <row r="1705" spans="1:7" s="62" customFormat="1" ht="12.75" x14ac:dyDescent="0.25">
      <c r="A1705" s="28">
        <f t="shared" si="48"/>
        <v>1624</v>
      </c>
      <c r="B1705" s="33" t="s">
        <v>2796</v>
      </c>
      <c r="C1705" s="33" t="s">
        <v>2797</v>
      </c>
      <c r="D1705" s="28" t="s">
        <v>438</v>
      </c>
      <c r="E1705" s="59">
        <v>1524600</v>
      </c>
      <c r="F1705" s="60"/>
      <c r="G1705" s="61"/>
    </row>
    <row r="1706" spans="1:7" s="62" customFormat="1" ht="25.5" x14ac:dyDescent="0.25">
      <c r="A1706" s="28">
        <f t="shared" si="48"/>
        <v>1625</v>
      </c>
      <c r="B1706" s="33" t="s">
        <v>2798</v>
      </c>
      <c r="C1706" s="33" t="s">
        <v>2799</v>
      </c>
      <c r="D1706" s="28" t="s">
        <v>438</v>
      </c>
      <c r="E1706" s="59">
        <v>2891640</v>
      </c>
      <c r="F1706" s="60"/>
      <c r="G1706" s="61"/>
    </row>
    <row r="1707" spans="1:7" s="62" customFormat="1" ht="25.5" x14ac:dyDescent="0.25">
      <c r="A1707" s="28">
        <f t="shared" si="48"/>
        <v>1626</v>
      </c>
      <c r="B1707" s="33" t="s">
        <v>2800</v>
      </c>
      <c r="C1707" s="33" t="s">
        <v>2801</v>
      </c>
      <c r="D1707" s="28" t="s">
        <v>438</v>
      </c>
      <c r="E1707" s="59">
        <v>1120080</v>
      </c>
      <c r="F1707" s="60"/>
      <c r="G1707" s="61"/>
    </row>
    <row r="1708" spans="1:7" s="62" customFormat="1" ht="18.75" customHeight="1" x14ac:dyDescent="0.25">
      <c r="A1708" s="154" t="s">
        <v>2802</v>
      </c>
      <c r="B1708" s="155"/>
      <c r="C1708" s="155"/>
      <c r="D1708" s="155"/>
      <c r="E1708" s="156"/>
      <c r="F1708" s="60"/>
      <c r="G1708" s="61"/>
    </row>
    <row r="1709" spans="1:7" s="62" customFormat="1" ht="25.5" x14ac:dyDescent="0.25">
      <c r="A1709" s="28">
        <f>A1707+1</f>
        <v>1627</v>
      </c>
      <c r="B1709" s="33" t="s">
        <v>2803</v>
      </c>
      <c r="C1709" s="33" t="s">
        <v>2804</v>
      </c>
      <c r="D1709" s="28" t="s">
        <v>438</v>
      </c>
      <c r="E1709" s="59">
        <v>359520</v>
      </c>
      <c r="F1709" s="60"/>
      <c r="G1709" s="61"/>
    </row>
    <row r="1710" spans="1:7" s="62" customFormat="1" ht="51" x14ac:dyDescent="0.25">
      <c r="A1710" s="28">
        <f>A1709+1</f>
        <v>1628</v>
      </c>
      <c r="B1710" s="33" t="s">
        <v>2805</v>
      </c>
      <c r="C1710" s="33" t="s">
        <v>2806</v>
      </c>
      <c r="D1710" s="28" t="s">
        <v>438</v>
      </c>
      <c r="E1710" s="59">
        <v>513600</v>
      </c>
      <c r="F1710" s="60"/>
      <c r="G1710" s="61"/>
    </row>
    <row r="1711" spans="1:7" s="62" customFormat="1" ht="38.25" x14ac:dyDescent="0.25">
      <c r="A1711" s="28">
        <f>A1710+1</f>
        <v>1629</v>
      </c>
      <c r="B1711" s="33" t="s">
        <v>2807</v>
      </c>
      <c r="C1711" s="33" t="s">
        <v>2808</v>
      </c>
      <c r="D1711" s="28" t="s">
        <v>438</v>
      </c>
      <c r="E1711" s="59">
        <v>1213440</v>
      </c>
      <c r="F1711" s="60"/>
      <c r="G1711" s="61"/>
    </row>
    <row r="1712" spans="1:7" s="62" customFormat="1" ht="20.25" customHeight="1" x14ac:dyDescent="0.25">
      <c r="A1712" s="28">
        <f>A1711+1</f>
        <v>1630</v>
      </c>
      <c r="B1712" s="33" t="s">
        <v>2809</v>
      </c>
      <c r="C1712" s="33" t="s">
        <v>1069</v>
      </c>
      <c r="D1712" s="28" t="s">
        <v>438</v>
      </c>
      <c r="E1712" s="59">
        <v>1209000</v>
      </c>
      <c r="F1712" s="60"/>
      <c r="G1712" s="61"/>
    </row>
    <row r="1713" spans="1:7" s="62" customFormat="1" ht="12.75" customHeight="1" x14ac:dyDescent="0.25">
      <c r="A1713" s="136" t="s">
        <v>2810</v>
      </c>
      <c r="B1713" s="137"/>
      <c r="C1713" s="137"/>
      <c r="D1713" s="137"/>
      <c r="E1713" s="138"/>
      <c r="F1713" s="60"/>
      <c r="G1713" s="61"/>
    </row>
    <row r="1714" spans="1:7" s="62" customFormat="1" ht="12.75" x14ac:dyDescent="0.25">
      <c r="A1714" s="28">
        <f>A1712+1</f>
        <v>1631</v>
      </c>
      <c r="B1714" s="29" t="s">
        <v>2811</v>
      </c>
      <c r="C1714" s="29" t="s">
        <v>2812</v>
      </c>
      <c r="D1714" s="34" t="s">
        <v>438</v>
      </c>
      <c r="E1714" s="59">
        <v>25680</v>
      </c>
      <c r="F1714" s="60"/>
      <c r="G1714" s="61"/>
    </row>
    <row r="1715" spans="1:7" s="62" customFormat="1" ht="25.5" x14ac:dyDescent="0.25">
      <c r="A1715" s="28">
        <f>A1714+1</f>
        <v>1632</v>
      </c>
      <c r="B1715" s="29" t="s">
        <v>2813</v>
      </c>
      <c r="C1715" s="29" t="s">
        <v>2814</v>
      </c>
      <c r="D1715" s="34" t="s">
        <v>438</v>
      </c>
      <c r="E1715" s="59">
        <v>128400</v>
      </c>
      <c r="F1715" s="60"/>
      <c r="G1715" s="61"/>
    </row>
    <row r="1716" spans="1:7" s="62" customFormat="1" ht="28.5" customHeight="1" x14ac:dyDescent="0.25">
      <c r="A1716" s="28">
        <f t="shared" ref="A1716:A1744" si="49">A1715+1</f>
        <v>1633</v>
      </c>
      <c r="B1716" s="29" t="s">
        <v>2815</v>
      </c>
      <c r="C1716" s="29" t="s">
        <v>2816</v>
      </c>
      <c r="D1716" s="34" t="s">
        <v>438</v>
      </c>
      <c r="E1716" s="59">
        <v>115560</v>
      </c>
      <c r="F1716" s="60"/>
      <c r="G1716" s="61"/>
    </row>
    <row r="1717" spans="1:7" s="62" customFormat="1" ht="25.5" x14ac:dyDescent="0.25">
      <c r="A1717" s="28">
        <f t="shared" si="49"/>
        <v>1634</v>
      </c>
      <c r="B1717" s="29" t="s">
        <v>2817</v>
      </c>
      <c r="C1717" s="29" t="s">
        <v>2818</v>
      </c>
      <c r="D1717" s="34" t="s">
        <v>438</v>
      </c>
      <c r="E1717" s="59">
        <v>115560</v>
      </c>
      <c r="F1717" s="60"/>
      <c r="G1717" s="61"/>
    </row>
    <row r="1718" spans="1:7" s="62" customFormat="1" ht="12.75" x14ac:dyDescent="0.25">
      <c r="A1718" s="28">
        <f t="shared" si="49"/>
        <v>1635</v>
      </c>
      <c r="B1718" s="29" t="s">
        <v>2819</v>
      </c>
      <c r="C1718" s="103" t="s">
        <v>2820</v>
      </c>
      <c r="D1718" s="34" t="s">
        <v>356</v>
      </c>
      <c r="E1718" s="59">
        <v>25680</v>
      </c>
      <c r="F1718" s="60"/>
      <c r="G1718" s="61"/>
    </row>
    <row r="1719" spans="1:7" s="62" customFormat="1" ht="12.75" x14ac:dyDescent="0.25">
      <c r="A1719" s="28">
        <f t="shared" si="49"/>
        <v>1636</v>
      </c>
      <c r="B1719" s="29" t="s">
        <v>2821</v>
      </c>
      <c r="C1719" s="103" t="s">
        <v>2822</v>
      </c>
      <c r="D1719" s="34" t="s">
        <v>356</v>
      </c>
      <c r="E1719" s="59">
        <v>7800</v>
      </c>
      <c r="F1719" s="60"/>
      <c r="G1719" s="61"/>
    </row>
    <row r="1720" spans="1:7" s="62" customFormat="1" ht="25.5" x14ac:dyDescent="0.25">
      <c r="A1720" s="28">
        <f t="shared" si="49"/>
        <v>1637</v>
      </c>
      <c r="B1720" s="33" t="s">
        <v>2823</v>
      </c>
      <c r="C1720" s="103" t="s">
        <v>2824</v>
      </c>
      <c r="D1720" s="34" t="s">
        <v>438</v>
      </c>
      <c r="E1720" s="59">
        <v>256800</v>
      </c>
      <c r="F1720" s="60"/>
      <c r="G1720" s="61"/>
    </row>
    <row r="1721" spans="1:7" s="62" customFormat="1" ht="25.5" x14ac:dyDescent="0.25">
      <c r="A1721" s="28">
        <f t="shared" si="49"/>
        <v>1638</v>
      </c>
      <c r="B1721" s="29" t="s">
        <v>2825</v>
      </c>
      <c r="C1721" s="103" t="s">
        <v>2826</v>
      </c>
      <c r="D1721" s="34" t="s">
        <v>356</v>
      </c>
      <c r="E1721" s="59">
        <v>23160</v>
      </c>
      <c r="F1721" s="60"/>
      <c r="G1721" s="61"/>
    </row>
    <row r="1722" spans="1:7" s="62" customFormat="1" ht="12.75" x14ac:dyDescent="0.25">
      <c r="A1722" s="28">
        <f t="shared" si="49"/>
        <v>1639</v>
      </c>
      <c r="B1722" s="29" t="s">
        <v>2827</v>
      </c>
      <c r="C1722" s="103" t="s">
        <v>2828</v>
      </c>
      <c r="D1722" s="30" t="s">
        <v>438</v>
      </c>
      <c r="E1722" s="59">
        <v>45000</v>
      </c>
      <c r="F1722" s="60"/>
      <c r="G1722" s="61"/>
    </row>
    <row r="1723" spans="1:7" s="62" customFormat="1" ht="12.75" x14ac:dyDescent="0.25">
      <c r="A1723" s="28">
        <f t="shared" si="49"/>
        <v>1640</v>
      </c>
      <c r="B1723" s="29" t="s">
        <v>2829</v>
      </c>
      <c r="C1723" s="103" t="s">
        <v>2830</v>
      </c>
      <c r="D1723" s="34" t="s">
        <v>438</v>
      </c>
      <c r="E1723" s="59">
        <v>89880</v>
      </c>
      <c r="F1723" s="60"/>
      <c r="G1723" s="61"/>
    </row>
    <row r="1724" spans="1:7" s="62" customFormat="1" ht="12.75" x14ac:dyDescent="0.25">
      <c r="A1724" s="28">
        <f t="shared" si="49"/>
        <v>1641</v>
      </c>
      <c r="B1724" s="29" t="s">
        <v>2831</v>
      </c>
      <c r="C1724" s="103" t="s">
        <v>2832</v>
      </c>
      <c r="D1724" s="34" t="s">
        <v>438</v>
      </c>
      <c r="E1724" s="59">
        <v>77040</v>
      </c>
      <c r="F1724" s="60"/>
      <c r="G1724" s="61"/>
    </row>
    <row r="1725" spans="1:7" s="62" customFormat="1" ht="12.75" x14ac:dyDescent="0.25">
      <c r="A1725" s="28">
        <f t="shared" si="49"/>
        <v>1642</v>
      </c>
      <c r="B1725" s="29" t="s">
        <v>2833</v>
      </c>
      <c r="C1725" s="103" t="s">
        <v>2834</v>
      </c>
      <c r="D1725" s="30" t="s">
        <v>438</v>
      </c>
      <c r="E1725" s="59">
        <v>192600</v>
      </c>
      <c r="F1725" s="60"/>
      <c r="G1725" s="61"/>
    </row>
    <row r="1726" spans="1:7" s="62" customFormat="1" ht="12.75" x14ac:dyDescent="0.25">
      <c r="A1726" s="28">
        <f t="shared" si="49"/>
        <v>1643</v>
      </c>
      <c r="B1726" s="29" t="s">
        <v>2835</v>
      </c>
      <c r="C1726" s="103" t="s">
        <v>2836</v>
      </c>
      <c r="D1726" s="30" t="s">
        <v>438</v>
      </c>
      <c r="E1726" s="59">
        <v>256800</v>
      </c>
      <c r="F1726" s="60"/>
      <c r="G1726" s="61"/>
    </row>
    <row r="1727" spans="1:7" s="62" customFormat="1" ht="25.5" x14ac:dyDescent="0.25">
      <c r="A1727" s="28">
        <f t="shared" si="49"/>
        <v>1644</v>
      </c>
      <c r="B1727" s="29" t="s">
        <v>2837</v>
      </c>
      <c r="C1727" s="103" t="s">
        <v>2838</v>
      </c>
      <c r="D1727" s="30" t="s">
        <v>356</v>
      </c>
      <c r="E1727" s="59">
        <v>38520</v>
      </c>
      <c r="F1727" s="60"/>
      <c r="G1727" s="61"/>
    </row>
    <row r="1728" spans="1:7" s="62" customFormat="1" ht="12.75" x14ac:dyDescent="0.25">
      <c r="A1728" s="28">
        <f t="shared" si="49"/>
        <v>1645</v>
      </c>
      <c r="B1728" s="29" t="s">
        <v>2839</v>
      </c>
      <c r="C1728" s="103" t="s">
        <v>2840</v>
      </c>
      <c r="D1728" s="30" t="s">
        <v>438</v>
      </c>
      <c r="E1728" s="59">
        <v>64200</v>
      </c>
      <c r="F1728" s="60"/>
      <c r="G1728" s="61"/>
    </row>
    <row r="1729" spans="1:11" s="62" customFormat="1" ht="12.75" x14ac:dyDescent="0.25">
      <c r="A1729" s="28">
        <f t="shared" si="49"/>
        <v>1646</v>
      </c>
      <c r="B1729" s="29" t="s">
        <v>2841</v>
      </c>
      <c r="C1729" s="103" t="s">
        <v>2842</v>
      </c>
      <c r="D1729" s="30" t="s">
        <v>438</v>
      </c>
      <c r="E1729" s="59">
        <v>141240</v>
      </c>
      <c r="F1729" s="60"/>
      <c r="G1729" s="61"/>
    </row>
    <row r="1730" spans="1:11" s="62" customFormat="1" ht="25.5" x14ac:dyDescent="0.25">
      <c r="A1730" s="28">
        <f t="shared" si="49"/>
        <v>1647</v>
      </c>
      <c r="B1730" s="29" t="s">
        <v>2843</v>
      </c>
      <c r="C1730" s="103" t="s">
        <v>2844</v>
      </c>
      <c r="D1730" s="34" t="s">
        <v>356</v>
      </c>
      <c r="E1730" s="59">
        <v>51360</v>
      </c>
      <c r="F1730" s="60"/>
      <c r="G1730" s="61"/>
    </row>
    <row r="1731" spans="1:11" s="62" customFormat="1" ht="25.5" x14ac:dyDescent="0.25">
      <c r="A1731" s="28">
        <f t="shared" si="49"/>
        <v>1648</v>
      </c>
      <c r="B1731" s="29" t="s">
        <v>2845</v>
      </c>
      <c r="C1731" s="103" t="s">
        <v>2846</v>
      </c>
      <c r="D1731" s="34" t="s">
        <v>356</v>
      </c>
      <c r="E1731" s="59">
        <v>25680</v>
      </c>
      <c r="F1731" s="60"/>
      <c r="G1731" s="61"/>
    </row>
    <row r="1732" spans="1:11" s="62" customFormat="1" ht="17.25" customHeight="1" x14ac:dyDescent="0.25">
      <c r="A1732" s="28">
        <f t="shared" si="49"/>
        <v>1649</v>
      </c>
      <c r="B1732" s="29" t="s">
        <v>2847</v>
      </c>
      <c r="C1732" s="103" t="s">
        <v>2848</v>
      </c>
      <c r="D1732" s="30" t="s">
        <v>438</v>
      </c>
      <c r="E1732" s="59">
        <v>166920</v>
      </c>
      <c r="F1732" s="60"/>
      <c r="G1732" s="61"/>
    </row>
    <row r="1733" spans="1:11" s="62" customFormat="1" ht="17.25" customHeight="1" x14ac:dyDescent="0.25">
      <c r="A1733" s="28">
        <f t="shared" si="49"/>
        <v>1650</v>
      </c>
      <c r="B1733" s="29" t="s">
        <v>2849</v>
      </c>
      <c r="C1733" s="103" t="s">
        <v>2850</v>
      </c>
      <c r="D1733" s="30" t="s">
        <v>438</v>
      </c>
      <c r="E1733" s="59">
        <v>89880</v>
      </c>
      <c r="F1733" s="60"/>
      <c r="G1733" s="61"/>
      <c r="H1733" s="67"/>
      <c r="I1733" s="67"/>
      <c r="J1733" s="67"/>
    </row>
    <row r="1734" spans="1:11" s="62" customFormat="1" ht="17.25" customHeight="1" x14ac:dyDescent="0.25">
      <c r="A1734" s="28">
        <f t="shared" si="49"/>
        <v>1651</v>
      </c>
      <c r="B1734" s="29" t="s">
        <v>2851</v>
      </c>
      <c r="C1734" s="103" t="s">
        <v>2852</v>
      </c>
      <c r="D1734" s="34" t="s">
        <v>438</v>
      </c>
      <c r="E1734" s="59">
        <v>256800</v>
      </c>
      <c r="F1734" s="60"/>
      <c r="G1734" s="61"/>
      <c r="H1734" s="67"/>
      <c r="I1734" s="67"/>
      <c r="J1734" s="67"/>
    </row>
    <row r="1735" spans="1:11" s="62" customFormat="1" ht="17.25" customHeight="1" x14ac:dyDescent="0.25">
      <c r="A1735" s="28">
        <f t="shared" si="49"/>
        <v>1652</v>
      </c>
      <c r="B1735" s="29" t="s">
        <v>2853</v>
      </c>
      <c r="C1735" s="103" t="s">
        <v>2854</v>
      </c>
      <c r="D1735" s="34" t="s">
        <v>438</v>
      </c>
      <c r="E1735" s="59">
        <v>318480</v>
      </c>
      <c r="F1735" s="60"/>
      <c r="G1735" s="61"/>
      <c r="H1735" s="67"/>
      <c r="I1735" s="67"/>
      <c r="J1735" s="67"/>
    </row>
    <row r="1736" spans="1:11" s="62" customFormat="1" ht="17.25" customHeight="1" x14ac:dyDescent="0.25">
      <c r="A1736" s="28">
        <f t="shared" si="49"/>
        <v>1653</v>
      </c>
      <c r="B1736" s="29" t="s">
        <v>2855</v>
      </c>
      <c r="C1736" s="103" t="s">
        <v>2856</v>
      </c>
      <c r="D1736" s="30" t="s">
        <v>438</v>
      </c>
      <c r="E1736" s="59">
        <v>154080</v>
      </c>
      <c r="F1736" s="60"/>
      <c r="G1736" s="61"/>
      <c r="H1736" s="67"/>
      <c r="I1736" s="67"/>
      <c r="J1736" s="67"/>
    </row>
    <row r="1737" spans="1:11" s="62" customFormat="1" ht="31.5" customHeight="1" x14ac:dyDescent="0.25">
      <c r="A1737" s="28">
        <f t="shared" si="49"/>
        <v>1654</v>
      </c>
      <c r="B1737" s="29" t="s">
        <v>2857</v>
      </c>
      <c r="C1737" s="103" t="s">
        <v>2858</v>
      </c>
      <c r="D1737" s="30" t="s">
        <v>438</v>
      </c>
      <c r="E1737" s="59">
        <v>297960</v>
      </c>
      <c r="F1737" s="60"/>
      <c r="G1737" s="61"/>
      <c r="H1737" s="67"/>
      <c r="I1737" s="67"/>
      <c r="J1737" s="67"/>
    </row>
    <row r="1738" spans="1:11" s="62" customFormat="1" ht="31.5" customHeight="1" x14ac:dyDescent="0.25">
      <c r="A1738" s="28">
        <f t="shared" si="49"/>
        <v>1655</v>
      </c>
      <c r="B1738" s="29" t="s">
        <v>2859</v>
      </c>
      <c r="C1738" s="103" t="s">
        <v>2860</v>
      </c>
      <c r="D1738" s="30" t="s">
        <v>356</v>
      </c>
      <c r="E1738" s="59">
        <v>297960</v>
      </c>
      <c r="F1738" s="60"/>
      <c r="G1738" s="61"/>
      <c r="H1738" s="67"/>
      <c r="I1738" s="67"/>
      <c r="J1738" s="67"/>
    </row>
    <row r="1739" spans="1:11" s="62" customFormat="1" ht="31.5" customHeight="1" x14ac:dyDescent="0.25">
      <c r="A1739" s="28">
        <f t="shared" si="49"/>
        <v>1656</v>
      </c>
      <c r="B1739" s="29" t="s">
        <v>2861</v>
      </c>
      <c r="C1739" s="103" t="s">
        <v>2862</v>
      </c>
      <c r="D1739" s="30" t="s">
        <v>438</v>
      </c>
      <c r="E1739" s="59">
        <v>378840</v>
      </c>
      <c r="F1739" s="60"/>
      <c r="G1739" s="61"/>
      <c r="H1739" s="67"/>
      <c r="I1739" s="67"/>
      <c r="J1739" s="67"/>
    </row>
    <row r="1740" spans="1:11" s="62" customFormat="1" ht="42.75" customHeight="1" x14ac:dyDescent="0.25">
      <c r="A1740" s="28">
        <f t="shared" si="49"/>
        <v>1657</v>
      </c>
      <c r="B1740" s="29" t="s">
        <v>2863</v>
      </c>
      <c r="C1740" s="103" t="s">
        <v>2862</v>
      </c>
      <c r="D1740" s="30" t="s">
        <v>438</v>
      </c>
      <c r="E1740" s="59">
        <v>436560</v>
      </c>
      <c r="F1740" s="60"/>
      <c r="G1740" s="61"/>
      <c r="H1740" s="67"/>
      <c r="I1740" s="67"/>
      <c r="J1740" s="67"/>
    </row>
    <row r="1741" spans="1:11" s="62" customFormat="1" ht="33.75" customHeight="1" x14ac:dyDescent="0.25">
      <c r="A1741" s="28">
        <f t="shared" si="49"/>
        <v>1658</v>
      </c>
      <c r="B1741" s="33" t="s">
        <v>2864</v>
      </c>
      <c r="C1741" s="103" t="s">
        <v>2865</v>
      </c>
      <c r="D1741" s="34" t="s">
        <v>438</v>
      </c>
      <c r="E1741" s="59">
        <v>205440</v>
      </c>
      <c r="F1741" s="60"/>
      <c r="G1741" s="61"/>
      <c r="H1741" s="67"/>
      <c r="I1741" s="67"/>
      <c r="J1741" s="67"/>
    </row>
    <row r="1742" spans="1:11" s="62" customFormat="1" ht="15.75" customHeight="1" x14ac:dyDescent="0.25">
      <c r="A1742" s="28">
        <f t="shared" si="49"/>
        <v>1659</v>
      </c>
      <c r="B1742" s="29" t="s">
        <v>2866</v>
      </c>
      <c r="C1742" s="103" t="s">
        <v>2867</v>
      </c>
      <c r="D1742" s="34" t="s">
        <v>438</v>
      </c>
      <c r="E1742" s="59">
        <v>89880</v>
      </c>
      <c r="F1742" s="60"/>
      <c r="G1742" s="61"/>
      <c r="H1742" s="67"/>
      <c r="I1742" s="67"/>
      <c r="J1742" s="67"/>
      <c r="K1742" s="67"/>
    </row>
    <row r="1743" spans="1:11" s="67" customFormat="1" ht="15.75" customHeight="1" x14ac:dyDescent="0.25">
      <c r="A1743" s="28">
        <f t="shared" si="49"/>
        <v>1660</v>
      </c>
      <c r="B1743" s="29" t="s">
        <v>2868</v>
      </c>
      <c r="C1743" s="103" t="s">
        <v>2869</v>
      </c>
      <c r="D1743" s="34" t="s">
        <v>438</v>
      </c>
      <c r="E1743" s="59">
        <v>102720</v>
      </c>
      <c r="F1743" s="60"/>
      <c r="G1743" s="61"/>
    </row>
    <row r="1744" spans="1:11" s="67" customFormat="1" ht="25.5" x14ac:dyDescent="0.25">
      <c r="A1744" s="28">
        <f t="shared" si="49"/>
        <v>1661</v>
      </c>
      <c r="B1744" s="29" t="s">
        <v>2870</v>
      </c>
      <c r="C1744" s="103" t="s">
        <v>2871</v>
      </c>
      <c r="D1744" s="30" t="s">
        <v>438</v>
      </c>
      <c r="E1744" s="59">
        <v>109200</v>
      </c>
      <c r="F1744" s="60"/>
      <c r="G1744" s="61"/>
    </row>
    <row r="1745" spans="1:10" s="67" customFormat="1" ht="15" customHeight="1" x14ac:dyDescent="0.25">
      <c r="A1745" s="136" t="s">
        <v>2872</v>
      </c>
      <c r="B1745" s="137"/>
      <c r="C1745" s="137"/>
      <c r="D1745" s="137"/>
      <c r="E1745" s="138"/>
      <c r="F1745" s="60"/>
      <c r="G1745" s="61"/>
    </row>
    <row r="1746" spans="1:10" s="67" customFormat="1" ht="25.5" x14ac:dyDescent="0.25">
      <c r="A1746" s="59">
        <f>A1744+1</f>
        <v>1662</v>
      </c>
      <c r="B1746" s="87" t="s">
        <v>2873</v>
      </c>
      <c r="C1746" s="87" t="s">
        <v>2874</v>
      </c>
      <c r="D1746" s="59" t="s">
        <v>467</v>
      </c>
      <c r="E1746" s="59">
        <v>12840</v>
      </c>
      <c r="F1746" s="60"/>
      <c r="G1746" s="61"/>
    </row>
    <row r="1747" spans="1:10" s="67" customFormat="1" ht="25.5" x14ac:dyDescent="0.25">
      <c r="A1747" s="59">
        <f>A1746+1</f>
        <v>1663</v>
      </c>
      <c r="B1747" s="87" t="s">
        <v>2875</v>
      </c>
      <c r="C1747" s="87" t="s">
        <v>2874</v>
      </c>
      <c r="D1747" s="59" t="s">
        <v>467</v>
      </c>
      <c r="E1747" s="59">
        <v>14880</v>
      </c>
      <c r="F1747" s="60"/>
      <c r="G1747" s="61"/>
    </row>
    <row r="1748" spans="1:10" s="67" customFormat="1" ht="12.75" x14ac:dyDescent="0.25">
      <c r="A1748" s="59">
        <f t="shared" ref="A1748:A1771" si="50">A1747+1</f>
        <v>1664</v>
      </c>
      <c r="B1748" s="87" t="s">
        <v>2876</v>
      </c>
      <c r="C1748" s="87" t="s">
        <v>2877</v>
      </c>
      <c r="D1748" s="104" t="s">
        <v>356</v>
      </c>
      <c r="E1748" s="59">
        <v>71760</v>
      </c>
      <c r="F1748" s="60"/>
      <c r="G1748" s="61"/>
    </row>
    <row r="1749" spans="1:10" s="67" customFormat="1" ht="12.75" x14ac:dyDescent="0.25">
      <c r="A1749" s="59">
        <f t="shared" si="50"/>
        <v>1665</v>
      </c>
      <c r="B1749" s="87" t="s">
        <v>2878</v>
      </c>
      <c r="C1749" s="87" t="s">
        <v>2879</v>
      </c>
      <c r="D1749" s="104" t="s">
        <v>356</v>
      </c>
      <c r="E1749" s="59">
        <v>75360</v>
      </c>
      <c r="F1749" s="60"/>
      <c r="G1749" s="61"/>
    </row>
    <row r="1750" spans="1:10" s="67" customFormat="1" ht="12.75" x14ac:dyDescent="0.25">
      <c r="A1750" s="59">
        <f t="shared" si="50"/>
        <v>1666</v>
      </c>
      <c r="B1750" s="87" t="s">
        <v>2880</v>
      </c>
      <c r="C1750" s="87" t="s">
        <v>2881</v>
      </c>
      <c r="D1750" s="104" t="s">
        <v>356</v>
      </c>
      <c r="E1750" s="59">
        <v>79080</v>
      </c>
      <c r="F1750" s="60"/>
      <c r="G1750" s="61"/>
    </row>
    <row r="1751" spans="1:10" s="67" customFormat="1" ht="12.75" x14ac:dyDescent="0.25">
      <c r="A1751" s="59">
        <f t="shared" si="50"/>
        <v>1667</v>
      </c>
      <c r="B1751" s="87" t="s">
        <v>2882</v>
      </c>
      <c r="C1751" s="87" t="s">
        <v>2883</v>
      </c>
      <c r="D1751" s="59" t="s">
        <v>2884</v>
      </c>
      <c r="E1751" s="59">
        <v>33000</v>
      </c>
      <c r="F1751" s="60"/>
      <c r="G1751" s="61"/>
    </row>
    <row r="1752" spans="1:10" s="67" customFormat="1" ht="12.75" x14ac:dyDescent="0.25">
      <c r="A1752" s="59">
        <f t="shared" si="50"/>
        <v>1668</v>
      </c>
      <c r="B1752" s="87" t="s">
        <v>2885</v>
      </c>
      <c r="C1752" s="87" t="s">
        <v>527</v>
      </c>
      <c r="D1752" s="59" t="s">
        <v>467</v>
      </c>
      <c r="E1752" s="59">
        <v>9000</v>
      </c>
      <c r="F1752" s="60"/>
      <c r="G1752" s="61"/>
    </row>
    <row r="1753" spans="1:10" s="67" customFormat="1" ht="12.75" x14ac:dyDescent="0.25">
      <c r="A1753" s="59">
        <f t="shared" si="50"/>
        <v>1669</v>
      </c>
      <c r="B1753" s="87" t="s">
        <v>2886</v>
      </c>
      <c r="C1753" s="87" t="s">
        <v>2887</v>
      </c>
      <c r="D1753" s="59" t="s">
        <v>467</v>
      </c>
      <c r="E1753" s="59">
        <v>7080</v>
      </c>
      <c r="F1753" s="60"/>
      <c r="G1753" s="61"/>
    </row>
    <row r="1754" spans="1:10" s="67" customFormat="1" ht="25.5" x14ac:dyDescent="0.25">
      <c r="A1754" s="59">
        <f t="shared" si="50"/>
        <v>1670</v>
      </c>
      <c r="B1754" s="87" t="s">
        <v>2888</v>
      </c>
      <c r="C1754" s="87" t="s">
        <v>2887</v>
      </c>
      <c r="D1754" s="59" t="s">
        <v>467</v>
      </c>
      <c r="E1754" s="59">
        <v>51240</v>
      </c>
      <c r="F1754" s="60"/>
      <c r="G1754" s="61"/>
    </row>
    <row r="1755" spans="1:10" s="67" customFormat="1" ht="25.5" x14ac:dyDescent="0.25">
      <c r="A1755" s="59">
        <f t="shared" si="50"/>
        <v>1671</v>
      </c>
      <c r="B1755" s="87" t="s">
        <v>2889</v>
      </c>
      <c r="C1755" s="87" t="s">
        <v>2887</v>
      </c>
      <c r="D1755" s="59" t="s">
        <v>467</v>
      </c>
      <c r="E1755" s="59">
        <v>51360</v>
      </c>
      <c r="F1755" s="60"/>
      <c r="G1755" s="61"/>
    </row>
    <row r="1756" spans="1:10" s="67" customFormat="1" ht="25.5" x14ac:dyDescent="0.25">
      <c r="A1756" s="59">
        <f t="shared" si="50"/>
        <v>1672</v>
      </c>
      <c r="B1756" s="87" t="s">
        <v>2890</v>
      </c>
      <c r="C1756" s="87" t="s">
        <v>2887</v>
      </c>
      <c r="D1756" s="59" t="s">
        <v>467</v>
      </c>
      <c r="E1756" s="59">
        <v>56520</v>
      </c>
      <c r="F1756" s="60"/>
      <c r="G1756" s="61"/>
    </row>
    <row r="1757" spans="1:10" s="67" customFormat="1" ht="18.75" customHeight="1" x14ac:dyDescent="0.25">
      <c r="A1757" s="59">
        <f t="shared" si="50"/>
        <v>1673</v>
      </c>
      <c r="B1757" s="87" t="s">
        <v>2891</v>
      </c>
      <c r="C1757" s="87" t="s">
        <v>2887</v>
      </c>
      <c r="D1757" s="59" t="s">
        <v>467</v>
      </c>
      <c r="E1757" s="59">
        <v>79680</v>
      </c>
      <c r="F1757" s="60"/>
      <c r="G1757" s="61"/>
    </row>
    <row r="1758" spans="1:10" s="67" customFormat="1" ht="12.75" x14ac:dyDescent="0.25">
      <c r="A1758" s="59">
        <f t="shared" si="50"/>
        <v>1674</v>
      </c>
      <c r="B1758" s="87" t="s">
        <v>2892</v>
      </c>
      <c r="C1758" s="87" t="s">
        <v>2887</v>
      </c>
      <c r="D1758" s="59" t="s">
        <v>467</v>
      </c>
      <c r="E1758" s="59">
        <v>63000</v>
      </c>
      <c r="F1758" s="60"/>
      <c r="G1758" s="61"/>
    </row>
    <row r="1759" spans="1:10" s="67" customFormat="1" ht="12.75" x14ac:dyDescent="0.25">
      <c r="A1759" s="59">
        <f t="shared" si="50"/>
        <v>1675</v>
      </c>
      <c r="B1759" s="87" t="s">
        <v>2893</v>
      </c>
      <c r="C1759" s="87" t="s">
        <v>2883</v>
      </c>
      <c r="D1759" s="59" t="s">
        <v>467</v>
      </c>
      <c r="E1759" s="59">
        <v>166920</v>
      </c>
      <c r="F1759" s="60"/>
      <c r="G1759" s="61"/>
    </row>
    <row r="1760" spans="1:10" s="67" customFormat="1" ht="12.75" x14ac:dyDescent="0.25">
      <c r="A1760" s="59">
        <f t="shared" si="50"/>
        <v>1676</v>
      </c>
      <c r="B1760" s="87" t="s">
        <v>2894</v>
      </c>
      <c r="C1760" s="87" t="s">
        <v>2883</v>
      </c>
      <c r="D1760" s="59" t="s">
        <v>467</v>
      </c>
      <c r="E1760" s="59">
        <v>51360</v>
      </c>
      <c r="F1760" s="60"/>
      <c r="G1760" s="61"/>
      <c r="H1760" s="62"/>
      <c r="I1760" s="62"/>
      <c r="J1760" s="62"/>
    </row>
    <row r="1761" spans="1:11" s="67" customFormat="1" ht="12.75" x14ac:dyDescent="0.25">
      <c r="A1761" s="59">
        <f t="shared" si="50"/>
        <v>1677</v>
      </c>
      <c r="B1761" s="87" t="s">
        <v>2895</v>
      </c>
      <c r="C1761" s="87" t="s">
        <v>2896</v>
      </c>
      <c r="D1761" s="104" t="s">
        <v>356</v>
      </c>
      <c r="E1761" s="59">
        <v>64200</v>
      </c>
      <c r="F1761" s="60"/>
      <c r="G1761" s="61"/>
      <c r="H1761" s="62"/>
      <c r="I1761" s="62"/>
      <c r="J1761" s="62"/>
    </row>
    <row r="1762" spans="1:11" s="67" customFormat="1" ht="12.75" x14ac:dyDescent="0.25">
      <c r="A1762" s="59">
        <f t="shared" si="50"/>
        <v>1678</v>
      </c>
      <c r="B1762" s="87" t="s">
        <v>2897</v>
      </c>
      <c r="C1762" s="87" t="s">
        <v>2898</v>
      </c>
      <c r="D1762" s="104" t="s">
        <v>356</v>
      </c>
      <c r="E1762" s="59">
        <v>70440</v>
      </c>
      <c r="F1762" s="60"/>
      <c r="G1762" s="61"/>
      <c r="H1762" s="82"/>
      <c r="I1762" s="82"/>
      <c r="J1762" s="82"/>
    </row>
    <row r="1763" spans="1:11" s="67" customFormat="1" ht="12.75" x14ac:dyDescent="0.25">
      <c r="A1763" s="59">
        <f t="shared" si="50"/>
        <v>1679</v>
      </c>
      <c r="B1763" s="87" t="s">
        <v>2899</v>
      </c>
      <c r="C1763" s="87" t="s">
        <v>2900</v>
      </c>
      <c r="D1763" s="104" t="s">
        <v>356</v>
      </c>
      <c r="E1763" s="59">
        <v>75120</v>
      </c>
      <c r="F1763" s="60"/>
      <c r="G1763" s="61"/>
      <c r="H1763" s="82"/>
      <c r="I1763" s="82"/>
      <c r="J1763" s="82"/>
    </row>
    <row r="1764" spans="1:11" s="67" customFormat="1" ht="12.75" x14ac:dyDescent="0.25">
      <c r="A1764" s="59">
        <f t="shared" si="50"/>
        <v>1680</v>
      </c>
      <c r="B1764" s="87" t="s">
        <v>2901</v>
      </c>
      <c r="C1764" s="87" t="s">
        <v>2902</v>
      </c>
      <c r="D1764" s="104" t="s">
        <v>356</v>
      </c>
      <c r="E1764" s="59">
        <v>57840</v>
      </c>
      <c r="F1764" s="60"/>
      <c r="G1764" s="61"/>
      <c r="H1764" s="82"/>
      <c r="I1764" s="82"/>
      <c r="J1764" s="82"/>
    </row>
    <row r="1765" spans="1:11" s="67" customFormat="1" ht="12.75" x14ac:dyDescent="0.25">
      <c r="A1765" s="59">
        <f t="shared" si="50"/>
        <v>1681</v>
      </c>
      <c r="B1765" s="87" t="s">
        <v>2903</v>
      </c>
      <c r="C1765" s="87" t="s">
        <v>2904</v>
      </c>
      <c r="D1765" s="104" t="s">
        <v>356</v>
      </c>
      <c r="E1765" s="59">
        <v>107040</v>
      </c>
      <c r="F1765" s="60"/>
      <c r="G1765" s="61"/>
      <c r="H1765" s="82"/>
      <c r="I1765" s="82"/>
      <c r="J1765" s="82"/>
    </row>
    <row r="1766" spans="1:11" s="67" customFormat="1" ht="12.75" x14ac:dyDescent="0.25">
      <c r="A1766" s="59">
        <f t="shared" si="50"/>
        <v>1682</v>
      </c>
      <c r="B1766" s="87" t="s">
        <v>2905</v>
      </c>
      <c r="C1766" s="87" t="s">
        <v>2906</v>
      </c>
      <c r="D1766" s="104" t="s">
        <v>356</v>
      </c>
      <c r="E1766" s="59">
        <v>166920</v>
      </c>
      <c r="F1766" s="60"/>
      <c r="G1766" s="61"/>
      <c r="H1766" s="82"/>
      <c r="I1766" s="82"/>
      <c r="J1766" s="82"/>
    </row>
    <row r="1767" spans="1:11" s="67" customFormat="1" ht="12.75" x14ac:dyDescent="0.25">
      <c r="A1767" s="59">
        <f t="shared" si="50"/>
        <v>1683</v>
      </c>
      <c r="B1767" s="87" t="s">
        <v>2907</v>
      </c>
      <c r="C1767" s="87" t="s">
        <v>2908</v>
      </c>
      <c r="D1767" s="104" t="s">
        <v>356</v>
      </c>
      <c r="E1767" s="59">
        <v>175320</v>
      </c>
      <c r="F1767" s="60"/>
      <c r="G1767" s="61"/>
      <c r="H1767" s="82"/>
      <c r="I1767" s="82"/>
      <c r="J1767" s="82"/>
    </row>
    <row r="1768" spans="1:11" s="67" customFormat="1" ht="12.75" x14ac:dyDescent="0.25">
      <c r="A1768" s="59">
        <f t="shared" si="50"/>
        <v>1684</v>
      </c>
      <c r="B1768" s="87" t="s">
        <v>2909</v>
      </c>
      <c r="C1768" s="87" t="s">
        <v>2910</v>
      </c>
      <c r="D1768" s="104" t="s">
        <v>356</v>
      </c>
      <c r="E1768" s="59">
        <v>184080</v>
      </c>
      <c r="F1768" s="60"/>
      <c r="G1768" s="61"/>
      <c r="H1768" s="82"/>
      <c r="I1768" s="82"/>
      <c r="J1768" s="82"/>
    </row>
    <row r="1769" spans="1:11" s="67" customFormat="1" ht="12.75" x14ac:dyDescent="0.25">
      <c r="A1769" s="59">
        <f t="shared" si="50"/>
        <v>1685</v>
      </c>
      <c r="B1769" s="87" t="s">
        <v>2911</v>
      </c>
      <c r="C1769" s="87" t="s">
        <v>2912</v>
      </c>
      <c r="D1769" s="104" t="s">
        <v>356</v>
      </c>
      <c r="E1769" s="59">
        <v>68160</v>
      </c>
      <c r="F1769" s="60"/>
      <c r="G1769" s="61"/>
      <c r="H1769" s="62"/>
      <c r="I1769" s="62"/>
      <c r="J1769" s="62"/>
      <c r="K1769" s="62"/>
    </row>
    <row r="1770" spans="1:11" s="62" customFormat="1" ht="12.75" x14ac:dyDescent="0.25">
      <c r="A1770" s="59">
        <f t="shared" si="50"/>
        <v>1686</v>
      </c>
      <c r="B1770" s="87" t="s">
        <v>2913</v>
      </c>
      <c r="C1770" s="87" t="s">
        <v>2914</v>
      </c>
      <c r="D1770" s="104" t="s">
        <v>356</v>
      </c>
      <c r="E1770" s="59">
        <v>71280</v>
      </c>
      <c r="F1770" s="60"/>
      <c r="G1770" s="61"/>
    </row>
    <row r="1771" spans="1:11" s="62" customFormat="1" ht="12.75" x14ac:dyDescent="0.25">
      <c r="A1771" s="59">
        <f t="shared" si="50"/>
        <v>1687</v>
      </c>
      <c r="B1771" s="87" t="s">
        <v>2915</v>
      </c>
      <c r="C1771" s="87" t="s">
        <v>2916</v>
      </c>
      <c r="D1771" s="104" t="s">
        <v>356</v>
      </c>
      <c r="E1771" s="59">
        <v>74880</v>
      </c>
      <c r="F1771" s="60"/>
      <c r="G1771" s="61"/>
      <c r="H1771" s="105"/>
      <c r="K1771" s="82"/>
    </row>
    <row r="1772" spans="1:11" s="82" customFormat="1" ht="15" customHeight="1" x14ac:dyDescent="0.25">
      <c r="A1772" s="139" t="s">
        <v>2917</v>
      </c>
      <c r="B1772" s="140"/>
      <c r="C1772" s="140"/>
      <c r="D1772" s="140"/>
      <c r="E1772" s="141"/>
      <c r="F1772" s="60"/>
      <c r="G1772" s="61"/>
      <c r="H1772" s="62"/>
      <c r="I1772" s="62"/>
      <c r="J1772" s="62"/>
    </row>
    <row r="1773" spans="1:11" s="82" customFormat="1" ht="25.5" x14ac:dyDescent="0.25">
      <c r="A1773" s="104">
        <f>A1771+1</f>
        <v>1688</v>
      </c>
      <c r="B1773" s="29" t="s">
        <v>2918</v>
      </c>
      <c r="C1773" s="87" t="s">
        <v>767</v>
      </c>
      <c r="D1773" s="28" t="s">
        <v>768</v>
      </c>
      <c r="E1773" s="59">
        <v>20640</v>
      </c>
      <c r="F1773" s="60"/>
      <c r="G1773" s="61"/>
      <c r="H1773" s="62"/>
      <c r="I1773" s="62"/>
      <c r="J1773" s="62"/>
    </row>
    <row r="1774" spans="1:11" s="82" customFormat="1" ht="25.5" x14ac:dyDescent="0.25">
      <c r="A1774" s="104">
        <f>A1773+1</f>
        <v>1689</v>
      </c>
      <c r="B1774" s="29" t="s">
        <v>2919</v>
      </c>
      <c r="C1774" s="87" t="s">
        <v>767</v>
      </c>
      <c r="D1774" s="28" t="s">
        <v>768</v>
      </c>
      <c r="E1774" s="59">
        <v>28320</v>
      </c>
      <c r="F1774" s="60"/>
      <c r="G1774" s="61"/>
      <c r="H1774" s="62"/>
      <c r="I1774" s="62"/>
      <c r="J1774" s="62"/>
    </row>
    <row r="1775" spans="1:11" s="82" customFormat="1" ht="25.5" x14ac:dyDescent="0.25">
      <c r="A1775" s="104">
        <f t="shared" ref="A1775:A1797" si="51">A1774+1</f>
        <v>1690</v>
      </c>
      <c r="B1775" s="29" t="s">
        <v>2920</v>
      </c>
      <c r="C1775" s="87" t="s">
        <v>767</v>
      </c>
      <c r="D1775" s="28" t="s">
        <v>768</v>
      </c>
      <c r="E1775" s="59">
        <v>38520</v>
      </c>
      <c r="F1775" s="60"/>
      <c r="G1775" s="61"/>
      <c r="H1775" s="62"/>
      <c r="I1775" s="62"/>
      <c r="J1775" s="62"/>
    </row>
    <row r="1776" spans="1:11" s="82" customFormat="1" ht="25.5" x14ac:dyDescent="0.25">
      <c r="A1776" s="104">
        <f t="shared" si="51"/>
        <v>1691</v>
      </c>
      <c r="B1776" s="29" t="s">
        <v>2921</v>
      </c>
      <c r="C1776" s="87" t="s">
        <v>767</v>
      </c>
      <c r="D1776" s="28" t="s">
        <v>768</v>
      </c>
      <c r="E1776" s="59">
        <v>54000</v>
      </c>
      <c r="F1776" s="60"/>
      <c r="G1776" s="61"/>
      <c r="H1776" s="62"/>
      <c r="I1776" s="62"/>
      <c r="J1776" s="62"/>
    </row>
    <row r="1777" spans="1:11" s="82" customFormat="1" ht="25.5" x14ac:dyDescent="0.25">
      <c r="A1777" s="104">
        <f t="shared" si="51"/>
        <v>1692</v>
      </c>
      <c r="B1777" s="29" t="s">
        <v>2922</v>
      </c>
      <c r="C1777" s="87" t="s">
        <v>767</v>
      </c>
      <c r="D1777" s="28" t="s">
        <v>768</v>
      </c>
      <c r="E1777" s="59">
        <v>54000</v>
      </c>
      <c r="F1777" s="60"/>
      <c r="G1777" s="61"/>
      <c r="H1777" s="62"/>
      <c r="I1777" s="62"/>
      <c r="J1777" s="62"/>
    </row>
    <row r="1778" spans="1:11" s="82" customFormat="1" ht="25.5" x14ac:dyDescent="0.25">
      <c r="A1778" s="104">
        <f t="shared" si="51"/>
        <v>1693</v>
      </c>
      <c r="B1778" s="29" t="s">
        <v>2923</v>
      </c>
      <c r="C1778" s="87" t="s">
        <v>767</v>
      </c>
      <c r="D1778" s="28" t="s">
        <v>768</v>
      </c>
      <c r="E1778" s="59">
        <v>38520</v>
      </c>
      <c r="F1778" s="60"/>
      <c r="G1778" s="61"/>
      <c r="H1778" s="62"/>
      <c r="I1778" s="62"/>
      <c r="J1778" s="62"/>
      <c r="K1778" s="62"/>
    </row>
    <row r="1779" spans="1:11" s="62" customFormat="1" ht="25.5" x14ac:dyDescent="0.25">
      <c r="A1779" s="104">
        <f t="shared" si="51"/>
        <v>1694</v>
      </c>
      <c r="B1779" s="29" t="s">
        <v>2924</v>
      </c>
      <c r="C1779" s="87" t="s">
        <v>767</v>
      </c>
      <c r="D1779" s="28" t="s">
        <v>768</v>
      </c>
      <c r="E1779" s="59">
        <v>25680</v>
      </c>
      <c r="F1779" s="60"/>
      <c r="G1779" s="61"/>
    </row>
    <row r="1780" spans="1:11" s="62" customFormat="1" ht="12.75" x14ac:dyDescent="0.25">
      <c r="A1780" s="104">
        <f t="shared" si="51"/>
        <v>1695</v>
      </c>
      <c r="B1780" s="29" t="s">
        <v>2925</v>
      </c>
      <c r="C1780" s="29"/>
      <c r="D1780" s="28" t="s">
        <v>768</v>
      </c>
      <c r="E1780" s="59">
        <v>4800</v>
      </c>
      <c r="F1780" s="60"/>
      <c r="G1780" s="61"/>
    </row>
    <row r="1781" spans="1:11" s="62" customFormat="1" ht="12.75" x14ac:dyDescent="0.25">
      <c r="A1781" s="104">
        <f t="shared" si="51"/>
        <v>1696</v>
      </c>
      <c r="B1781" s="29" t="s">
        <v>2926</v>
      </c>
      <c r="C1781" s="29"/>
      <c r="D1781" s="28" t="s">
        <v>768</v>
      </c>
      <c r="E1781" s="59">
        <v>6480</v>
      </c>
      <c r="F1781" s="60"/>
      <c r="G1781" s="61"/>
    </row>
    <row r="1782" spans="1:11" s="62" customFormat="1" ht="38.25" x14ac:dyDescent="0.25">
      <c r="A1782" s="104">
        <f t="shared" si="51"/>
        <v>1697</v>
      </c>
      <c r="B1782" s="87" t="s">
        <v>2927</v>
      </c>
      <c r="C1782" s="87" t="s">
        <v>767</v>
      </c>
      <c r="D1782" s="59" t="s">
        <v>768</v>
      </c>
      <c r="E1782" s="59">
        <v>51360</v>
      </c>
      <c r="F1782" s="60"/>
      <c r="G1782" s="61"/>
    </row>
    <row r="1783" spans="1:11" s="62" customFormat="1" ht="38.25" x14ac:dyDescent="0.25">
      <c r="A1783" s="104">
        <f t="shared" si="51"/>
        <v>1698</v>
      </c>
      <c r="B1783" s="87" t="s">
        <v>2928</v>
      </c>
      <c r="C1783" s="87" t="s">
        <v>767</v>
      </c>
      <c r="D1783" s="59" t="s">
        <v>768</v>
      </c>
      <c r="E1783" s="59">
        <v>28320</v>
      </c>
      <c r="F1783" s="60"/>
      <c r="G1783" s="61"/>
    </row>
    <row r="1784" spans="1:11" s="62" customFormat="1" ht="12.75" x14ac:dyDescent="0.25">
      <c r="A1784" s="104">
        <f t="shared" si="51"/>
        <v>1699</v>
      </c>
      <c r="B1784" s="87" t="s">
        <v>2929</v>
      </c>
      <c r="C1784" s="87" t="s">
        <v>2930</v>
      </c>
      <c r="D1784" s="70" t="s">
        <v>352</v>
      </c>
      <c r="E1784" s="59">
        <v>43200</v>
      </c>
      <c r="F1784" s="60"/>
      <c r="G1784" s="61"/>
    </row>
    <row r="1785" spans="1:11" s="62" customFormat="1" ht="12.75" x14ac:dyDescent="0.25">
      <c r="A1785" s="104">
        <f t="shared" si="51"/>
        <v>1700</v>
      </c>
      <c r="B1785" s="87" t="s">
        <v>2931</v>
      </c>
      <c r="C1785" s="87" t="s">
        <v>2930</v>
      </c>
      <c r="D1785" s="70" t="s">
        <v>352</v>
      </c>
      <c r="E1785" s="59">
        <v>43200</v>
      </c>
      <c r="F1785" s="60"/>
      <c r="G1785" s="61"/>
    </row>
    <row r="1786" spans="1:11" s="62" customFormat="1" ht="15" customHeight="1" x14ac:dyDescent="0.25">
      <c r="A1786" s="104">
        <f t="shared" si="51"/>
        <v>1701</v>
      </c>
      <c r="B1786" s="87" t="s">
        <v>2932</v>
      </c>
      <c r="C1786" s="87" t="s">
        <v>2930</v>
      </c>
      <c r="D1786" s="70" t="s">
        <v>352</v>
      </c>
      <c r="E1786" s="59">
        <v>30840</v>
      </c>
      <c r="F1786" s="60"/>
      <c r="G1786" s="61"/>
    </row>
    <row r="1787" spans="1:11" s="62" customFormat="1" ht="15" customHeight="1" x14ac:dyDescent="0.25">
      <c r="A1787" s="104">
        <f t="shared" si="51"/>
        <v>1702</v>
      </c>
      <c r="B1787" s="29" t="s">
        <v>2933</v>
      </c>
      <c r="C1787" s="87" t="s">
        <v>2930</v>
      </c>
      <c r="D1787" s="70" t="s">
        <v>352</v>
      </c>
      <c r="E1787" s="59">
        <v>16440</v>
      </c>
      <c r="F1787" s="60"/>
      <c r="G1787" s="61"/>
    </row>
    <row r="1788" spans="1:11" s="62" customFormat="1" ht="15" customHeight="1" x14ac:dyDescent="0.25">
      <c r="A1788" s="104">
        <f t="shared" si="51"/>
        <v>1703</v>
      </c>
      <c r="B1788" s="29" t="s">
        <v>2934</v>
      </c>
      <c r="C1788" s="87" t="s">
        <v>2930</v>
      </c>
      <c r="D1788" s="70" t="s">
        <v>352</v>
      </c>
      <c r="E1788" s="59">
        <v>22680</v>
      </c>
      <c r="F1788" s="60"/>
      <c r="G1788" s="61"/>
    </row>
    <row r="1789" spans="1:11" s="62" customFormat="1" ht="43.5" customHeight="1" x14ac:dyDescent="0.25">
      <c r="A1789" s="104">
        <f t="shared" si="51"/>
        <v>1704</v>
      </c>
      <c r="B1789" s="29" t="s">
        <v>2935</v>
      </c>
      <c r="C1789" s="87" t="s">
        <v>2930</v>
      </c>
      <c r="D1789" s="70" t="s">
        <v>352</v>
      </c>
      <c r="E1789" s="59">
        <v>41160</v>
      </c>
      <c r="F1789" s="60"/>
      <c r="G1789" s="61"/>
    </row>
    <row r="1790" spans="1:11" s="62" customFormat="1" ht="43.5" customHeight="1" x14ac:dyDescent="0.25">
      <c r="A1790" s="104">
        <f t="shared" si="51"/>
        <v>1705</v>
      </c>
      <c r="B1790" s="29" t="s">
        <v>2936</v>
      </c>
      <c r="C1790" s="87" t="s">
        <v>2930</v>
      </c>
      <c r="D1790" s="70" t="s">
        <v>352</v>
      </c>
      <c r="E1790" s="59">
        <v>22680</v>
      </c>
      <c r="F1790" s="60"/>
      <c r="G1790" s="61"/>
    </row>
    <row r="1791" spans="1:11" s="62" customFormat="1" ht="45.75" customHeight="1" x14ac:dyDescent="0.25">
      <c r="A1791" s="104">
        <f t="shared" si="51"/>
        <v>1706</v>
      </c>
      <c r="B1791" s="87" t="s">
        <v>3135</v>
      </c>
      <c r="C1791" s="87" t="s">
        <v>767</v>
      </c>
      <c r="D1791" s="59" t="s">
        <v>768</v>
      </c>
      <c r="E1791" s="117">
        <v>20640</v>
      </c>
      <c r="F1791" s="60"/>
      <c r="G1791" s="61"/>
    </row>
    <row r="1792" spans="1:11" s="62" customFormat="1" ht="42.75" customHeight="1" x14ac:dyDescent="0.25">
      <c r="A1792" s="104">
        <f t="shared" si="51"/>
        <v>1707</v>
      </c>
      <c r="B1792" s="87" t="s">
        <v>3136</v>
      </c>
      <c r="C1792" s="87" t="s">
        <v>767</v>
      </c>
      <c r="D1792" s="59" t="s">
        <v>768</v>
      </c>
      <c r="E1792" s="117">
        <v>28320</v>
      </c>
      <c r="F1792" s="60"/>
      <c r="G1792" s="61"/>
    </row>
    <row r="1793" spans="1:7" s="62" customFormat="1" ht="42.75" customHeight="1" x14ac:dyDescent="0.25">
      <c r="A1793" s="104">
        <f t="shared" si="51"/>
        <v>1708</v>
      </c>
      <c r="B1793" s="87" t="s">
        <v>3137</v>
      </c>
      <c r="C1793" s="87" t="s">
        <v>767</v>
      </c>
      <c r="D1793" s="59" t="s">
        <v>768</v>
      </c>
      <c r="E1793" s="117">
        <v>54000</v>
      </c>
      <c r="F1793" s="60"/>
      <c r="G1793" s="61"/>
    </row>
    <row r="1794" spans="1:7" s="62" customFormat="1" ht="42.75" customHeight="1" x14ac:dyDescent="0.25">
      <c r="A1794" s="104">
        <f t="shared" si="51"/>
        <v>1709</v>
      </c>
      <c r="B1794" s="87" t="s">
        <v>3138</v>
      </c>
      <c r="C1794" s="87" t="s">
        <v>767</v>
      </c>
      <c r="D1794" s="59" t="s">
        <v>768</v>
      </c>
      <c r="E1794" s="117">
        <v>54000</v>
      </c>
      <c r="F1794" s="60"/>
      <c r="G1794" s="61"/>
    </row>
    <row r="1795" spans="1:7" s="62" customFormat="1" ht="54.75" customHeight="1" x14ac:dyDescent="0.25">
      <c r="A1795" s="104">
        <f t="shared" si="51"/>
        <v>1710</v>
      </c>
      <c r="B1795" s="87" t="s">
        <v>3139</v>
      </c>
      <c r="C1795" s="87" t="s">
        <v>767</v>
      </c>
      <c r="D1795" s="59" t="s">
        <v>768</v>
      </c>
      <c r="E1795" s="117">
        <v>51360</v>
      </c>
      <c r="F1795" s="60"/>
      <c r="G1795" s="61"/>
    </row>
    <row r="1796" spans="1:7" s="62" customFormat="1" ht="54.75" customHeight="1" x14ac:dyDescent="0.25">
      <c r="A1796" s="104">
        <f t="shared" si="51"/>
        <v>1711</v>
      </c>
      <c r="B1796" s="87" t="s">
        <v>3140</v>
      </c>
      <c r="C1796" s="87" t="s">
        <v>767</v>
      </c>
      <c r="D1796" s="59" t="s">
        <v>768</v>
      </c>
      <c r="E1796" s="117">
        <v>28320</v>
      </c>
      <c r="F1796" s="60"/>
      <c r="G1796" s="61"/>
    </row>
    <row r="1797" spans="1:7" s="62" customFormat="1" ht="19.5" customHeight="1" x14ac:dyDescent="0.25">
      <c r="A1797" s="104">
        <f t="shared" si="51"/>
        <v>1712</v>
      </c>
      <c r="B1797" s="87" t="s">
        <v>3141</v>
      </c>
      <c r="C1797" s="87" t="s">
        <v>3142</v>
      </c>
      <c r="D1797" s="59" t="s">
        <v>3143</v>
      </c>
      <c r="E1797" s="117">
        <v>42000</v>
      </c>
      <c r="F1797" s="60"/>
      <c r="G1797" s="61"/>
    </row>
    <row r="1798" spans="1:7" s="62" customFormat="1" ht="13.5" customHeight="1" x14ac:dyDescent="0.25">
      <c r="A1798" s="139" t="s">
        <v>2937</v>
      </c>
      <c r="B1798" s="140"/>
      <c r="C1798" s="140"/>
      <c r="D1798" s="140"/>
      <c r="E1798" s="141"/>
      <c r="F1798" s="60"/>
      <c r="G1798" s="61"/>
    </row>
    <row r="1799" spans="1:7" s="62" customFormat="1" ht="38.25" x14ac:dyDescent="0.25">
      <c r="A1799" s="28">
        <f>A1797+1</f>
        <v>1713</v>
      </c>
      <c r="B1799" s="29" t="s">
        <v>2938</v>
      </c>
      <c r="C1799" s="29"/>
      <c r="D1799" s="28" t="s">
        <v>2939</v>
      </c>
      <c r="E1799" s="59">
        <v>19320</v>
      </c>
      <c r="F1799" s="60"/>
      <c r="G1799" s="61"/>
    </row>
    <row r="1800" spans="1:7" s="62" customFormat="1" ht="38.25" x14ac:dyDescent="0.25">
      <c r="A1800" s="28">
        <f>A1799+1</f>
        <v>1714</v>
      </c>
      <c r="B1800" s="29" t="s">
        <v>2940</v>
      </c>
      <c r="C1800" s="29"/>
      <c r="D1800" s="28" t="s">
        <v>2939</v>
      </c>
      <c r="E1800" s="59">
        <v>32160</v>
      </c>
      <c r="F1800" s="60"/>
      <c r="G1800" s="61"/>
    </row>
    <row r="1801" spans="1:7" s="62" customFormat="1" ht="30" customHeight="1" x14ac:dyDescent="0.25">
      <c r="A1801" s="28">
        <f>A1800+1</f>
        <v>1715</v>
      </c>
      <c r="B1801" s="29" t="s">
        <v>2941</v>
      </c>
      <c r="C1801" s="29"/>
      <c r="D1801" s="28" t="s">
        <v>2942</v>
      </c>
      <c r="E1801" s="59">
        <v>38520</v>
      </c>
    </row>
    <row r="1802" spans="1:7" s="62" customFormat="1" ht="30" customHeight="1" x14ac:dyDescent="0.25">
      <c r="A1802" s="28">
        <f>A1801+1</f>
        <v>1716</v>
      </c>
      <c r="B1802" s="29" t="s">
        <v>2943</v>
      </c>
      <c r="C1802" s="29"/>
      <c r="D1802" s="28" t="s">
        <v>2942</v>
      </c>
      <c r="E1802" s="59">
        <v>51360</v>
      </c>
    </row>
    <row r="1803" spans="1:7" s="62" customFormat="1" ht="30" customHeight="1" x14ac:dyDescent="0.25">
      <c r="A1803" s="28">
        <f>A1802+1</f>
        <v>1717</v>
      </c>
      <c r="B1803" s="29" t="s">
        <v>2944</v>
      </c>
      <c r="C1803" s="29"/>
      <c r="D1803" s="28" t="s">
        <v>2942</v>
      </c>
      <c r="E1803" s="59">
        <v>32160</v>
      </c>
    </row>
    <row r="1804" spans="1:7" s="62" customFormat="1" ht="30" customHeight="1" x14ac:dyDescent="0.25">
      <c r="A1804" s="28">
        <f>A1803+1</f>
        <v>1718</v>
      </c>
      <c r="B1804" s="29" t="s">
        <v>2945</v>
      </c>
      <c r="C1804" s="29"/>
      <c r="D1804" s="28" t="s">
        <v>2946</v>
      </c>
      <c r="E1804" s="59">
        <v>1200</v>
      </c>
    </row>
    <row r="1805" spans="1:7" s="62" customFormat="1" ht="30" customHeight="1" x14ac:dyDescent="0.25">
      <c r="A1805" s="28">
        <f t="shared" ref="A1805:A1806" si="52">A1804+1</f>
        <v>1719</v>
      </c>
      <c r="B1805" s="121" t="s">
        <v>3219</v>
      </c>
      <c r="C1805" s="121"/>
      <c r="D1805" s="28" t="s">
        <v>3220</v>
      </c>
      <c r="E1805" s="59">
        <v>9600</v>
      </c>
    </row>
    <row r="1806" spans="1:7" s="62" customFormat="1" ht="30" customHeight="1" x14ac:dyDescent="0.25">
      <c r="A1806" s="28">
        <f t="shared" si="52"/>
        <v>1720</v>
      </c>
      <c r="B1806" s="121" t="s">
        <v>3221</v>
      </c>
      <c r="C1806" s="121"/>
      <c r="D1806" s="28" t="s">
        <v>3220</v>
      </c>
      <c r="E1806" s="59">
        <v>18000</v>
      </c>
    </row>
    <row r="1807" spans="1:7" s="62" customFormat="1" ht="15.75" customHeight="1" x14ac:dyDescent="0.25">
      <c r="A1807" s="139" t="s">
        <v>2947</v>
      </c>
      <c r="B1807" s="140"/>
      <c r="C1807" s="140"/>
      <c r="D1807" s="140"/>
      <c r="E1807" s="141"/>
    </row>
    <row r="1808" spans="1:7" s="62" customFormat="1" ht="19.5" customHeight="1" x14ac:dyDescent="0.25">
      <c r="A1808" s="28">
        <f>A1806+1</f>
        <v>1721</v>
      </c>
      <c r="B1808" s="29" t="s">
        <v>2948</v>
      </c>
      <c r="C1808" s="29"/>
      <c r="D1808" s="28" t="s">
        <v>352</v>
      </c>
      <c r="E1808" s="59">
        <v>5880</v>
      </c>
    </row>
    <row r="1809" spans="1:6" s="62" customFormat="1" ht="25.5" x14ac:dyDescent="0.25">
      <c r="A1809" s="28">
        <f>A1808+1</f>
        <v>1722</v>
      </c>
      <c r="B1809" s="29" t="s">
        <v>2949</v>
      </c>
      <c r="C1809" s="29"/>
      <c r="D1809" s="28" t="s">
        <v>352</v>
      </c>
      <c r="E1809" s="59">
        <v>2040</v>
      </c>
    </row>
    <row r="1810" spans="1:6" s="62" customFormat="1" ht="18" customHeight="1" x14ac:dyDescent="0.25">
      <c r="A1810" s="28">
        <f>A1809+1</f>
        <v>1723</v>
      </c>
      <c r="B1810" s="29" t="s">
        <v>2950</v>
      </c>
      <c r="C1810" s="29"/>
      <c r="D1810" s="28" t="s">
        <v>352</v>
      </c>
      <c r="E1810" s="59">
        <v>51360</v>
      </c>
    </row>
    <row r="1811" spans="1:6" s="62" customFormat="1" ht="18" customHeight="1" x14ac:dyDescent="0.25">
      <c r="A1811" s="28">
        <f>A1810+1</f>
        <v>1724</v>
      </c>
      <c r="B1811" s="33" t="s">
        <v>2951</v>
      </c>
      <c r="C1811" s="33"/>
      <c r="D1811" s="28" t="s">
        <v>352</v>
      </c>
      <c r="E1811" s="59">
        <v>2400</v>
      </c>
    </row>
    <row r="1812" spans="1:6" ht="15.75" customHeight="1" x14ac:dyDescent="0.25">
      <c r="B1812" s="127"/>
      <c r="C1812" s="127"/>
      <c r="D1812" s="127"/>
    </row>
    <row r="1813" spans="1:6" ht="8.25" customHeight="1" x14ac:dyDescent="0.25">
      <c r="B1813" s="27"/>
      <c r="C1813" s="27"/>
      <c r="D1813" s="27"/>
    </row>
    <row r="1814" spans="1:6" ht="44.25" customHeight="1" x14ac:dyDescent="0.25">
      <c r="B1814" s="16" t="s">
        <v>2952</v>
      </c>
      <c r="D1814" s="135" t="s">
        <v>2953</v>
      </c>
      <c r="E1814" s="135"/>
      <c r="F1814" s="16"/>
    </row>
    <row r="1815" spans="1:6" ht="44.25" customHeight="1" x14ac:dyDescent="0.25">
      <c r="B1815" s="16" t="s">
        <v>2954</v>
      </c>
      <c r="D1815" s="135" t="s">
        <v>2955</v>
      </c>
      <c r="E1815" s="135"/>
      <c r="F1815" s="16"/>
    </row>
    <row r="1816" spans="1:6" ht="44.25" customHeight="1" x14ac:dyDescent="0.25">
      <c r="B1816" s="16" t="s">
        <v>2956</v>
      </c>
      <c r="C1816" s="16"/>
      <c r="D1816" s="135" t="s">
        <v>2957</v>
      </c>
      <c r="E1816" s="135"/>
      <c r="F1816" s="16"/>
    </row>
  </sheetData>
  <mergeCells count="89">
    <mergeCell ref="C14:E14"/>
    <mergeCell ref="B8:E8"/>
    <mergeCell ref="C10:E10"/>
    <mergeCell ref="C11:E11"/>
    <mergeCell ref="B12:E12"/>
    <mergeCell ref="A889:E889"/>
    <mergeCell ref="A890:E890"/>
    <mergeCell ref="A891:E891"/>
    <mergeCell ref="A678:E678"/>
    <mergeCell ref="C18:C19"/>
    <mergeCell ref="D18:D19"/>
    <mergeCell ref="A18:A19"/>
    <mergeCell ref="B18:B19"/>
    <mergeCell ref="A612:E612"/>
    <mergeCell ref="A251:E251"/>
    <mergeCell ref="A279:E279"/>
    <mergeCell ref="A1713:E1713"/>
    <mergeCell ref="A1745:E1745"/>
    <mergeCell ref="A1772:E1772"/>
    <mergeCell ref="A1798:E1798"/>
    <mergeCell ref="A1667:E1667"/>
    <mergeCell ref="A1681:E1681"/>
    <mergeCell ref="A1685:E1685"/>
    <mergeCell ref="A1700:E1700"/>
    <mergeCell ref="A1708:E1708"/>
    <mergeCell ref="B3:E3"/>
    <mergeCell ref="B4:E4"/>
    <mergeCell ref="C5:E5"/>
    <mergeCell ref="C6:E6"/>
    <mergeCell ref="A1305:E1305"/>
    <mergeCell ref="A1172:E1172"/>
    <mergeCell ref="A1173:E1173"/>
    <mergeCell ref="A1130:E1130"/>
    <mergeCell ref="A1131:E1131"/>
    <mergeCell ref="A1139:E1139"/>
    <mergeCell ref="A1142:E1142"/>
    <mergeCell ref="A1145:E1145"/>
    <mergeCell ref="A1072:E1072"/>
    <mergeCell ref="A1082:E1082"/>
    <mergeCell ref="A1118:E1118"/>
    <mergeCell ref="A841:E841"/>
    <mergeCell ref="B1812:D1812"/>
    <mergeCell ref="A379:E379"/>
    <mergeCell ref="A413:E413"/>
    <mergeCell ref="A451:E451"/>
    <mergeCell ref="A480:E480"/>
    <mergeCell ref="A485:E485"/>
    <mergeCell ref="A492:E492"/>
    <mergeCell ref="A504:E504"/>
    <mergeCell ref="A530:E530"/>
    <mergeCell ref="A544:E544"/>
    <mergeCell ref="A552:E552"/>
    <mergeCell ref="A1200:E1200"/>
    <mergeCell ref="A1507:E1507"/>
    <mergeCell ref="A1528:E1528"/>
    <mergeCell ref="A1600:E1600"/>
    <mergeCell ref="A1651:E1651"/>
    <mergeCell ref="C1:E1"/>
    <mergeCell ref="A17:E17"/>
    <mergeCell ref="A16:E16"/>
    <mergeCell ref="B2:E2"/>
    <mergeCell ref="A709:E709"/>
    <mergeCell ref="A706:E706"/>
    <mergeCell ref="A699:E699"/>
    <mergeCell ref="A20:E20"/>
    <mergeCell ref="A278:E278"/>
    <mergeCell ref="A281:E281"/>
    <mergeCell ref="A286:E286"/>
    <mergeCell ref="A291:E291"/>
    <mergeCell ref="A342:E342"/>
    <mergeCell ref="A362:E362"/>
    <mergeCell ref="A374:E374"/>
    <mergeCell ref="A377:E377"/>
    <mergeCell ref="D1814:E1814"/>
    <mergeCell ref="D1815:E1815"/>
    <mergeCell ref="D1816:E1816"/>
    <mergeCell ref="A913:E913"/>
    <mergeCell ref="A918:E918"/>
    <mergeCell ref="A985:E985"/>
    <mergeCell ref="A1044:E1044"/>
    <mergeCell ref="A1061:E1061"/>
    <mergeCell ref="A1807:E1807"/>
    <mergeCell ref="A1205:E1205"/>
    <mergeCell ref="A1217:E1217"/>
    <mergeCell ref="A1222:E1222"/>
    <mergeCell ref="A1292:E1292"/>
    <mergeCell ref="A1148:E1148"/>
    <mergeCell ref="A1164:E1164"/>
    <mergeCell ref="A1166:E1166"/>
  </mergeCells>
  <pageMargins left="0.7" right="0.7" top="0.75" bottom="0.75" header="0.3" footer="0.3"/>
  <pageSetup paperSize="9" scale="77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opLeftCell="A19" workbookViewId="0">
      <selection activeCell="B30" sqref="B30"/>
    </sheetView>
  </sheetViews>
  <sheetFormatPr defaultColWidth="8.85546875" defaultRowHeight="15.75" x14ac:dyDescent="0.25"/>
  <cols>
    <col min="1" max="1" width="4.7109375" style="19" customWidth="1"/>
    <col min="2" max="2" width="52.5703125" style="20" customWidth="1"/>
    <col min="3" max="3" width="18.28515625" style="20" customWidth="1"/>
    <col min="4" max="4" width="10" style="19" customWidth="1"/>
    <col min="5" max="5" width="19.28515625" style="19" customWidth="1"/>
    <col min="6" max="6" width="8.85546875" style="19" customWidth="1"/>
    <col min="7" max="251" width="8.85546875" style="19"/>
    <col min="252" max="252" width="4.7109375" style="19" customWidth="1"/>
    <col min="253" max="253" width="43.85546875" style="19" customWidth="1"/>
    <col min="254" max="254" width="18.28515625" style="19" customWidth="1"/>
    <col min="255" max="255" width="10" style="19" customWidth="1"/>
    <col min="256" max="256" width="0" style="19" hidden="1" customWidth="1"/>
    <col min="257" max="257" width="25.140625" style="19" customWidth="1"/>
    <col min="258" max="261" width="0" style="19" hidden="1" customWidth="1"/>
    <col min="262" max="507" width="8.85546875" style="19"/>
    <col min="508" max="508" width="4.7109375" style="19" customWidth="1"/>
    <col min="509" max="509" width="43.85546875" style="19" customWidth="1"/>
    <col min="510" max="510" width="18.28515625" style="19" customWidth="1"/>
    <col min="511" max="511" width="10" style="19" customWidth="1"/>
    <col min="512" max="512" width="0" style="19" hidden="1" customWidth="1"/>
    <col min="513" max="513" width="25.140625" style="19" customWidth="1"/>
    <col min="514" max="517" width="0" style="19" hidden="1" customWidth="1"/>
    <col min="518" max="763" width="8.85546875" style="19"/>
    <col min="764" max="764" width="4.7109375" style="19" customWidth="1"/>
    <col min="765" max="765" width="43.85546875" style="19" customWidth="1"/>
    <col min="766" max="766" width="18.28515625" style="19" customWidth="1"/>
    <col min="767" max="767" width="10" style="19" customWidth="1"/>
    <col min="768" max="768" width="0" style="19" hidden="1" customWidth="1"/>
    <col min="769" max="769" width="25.140625" style="19" customWidth="1"/>
    <col min="770" max="773" width="0" style="19" hidden="1" customWidth="1"/>
    <col min="774" max="1019" width="8.85546875" style="19"/>
    <col min="1020" max="1020" width="4.7109375" style="19" customWidth="1"/>
    <col min="1021" max="1021" width="43.85546875" style="19" customWidth="1"/>
    <col min="1022" max="1022" width="18.28515625" style="19" customWidth="1"/>
    <col min="1023" max="1023" width="10" style="19" customWidth="1"/>
    <col min="1024" max="1024" width="0" style="19" hidden="1" customWidth="1"/>
    <col min="1025" max="1025" width="25.140625" style="19" customWidth="1"/>
    <col min="1026" max="1029" width="0" style="19" hidden="1" customWidth="1"/>
    <col min="1030" max="1275" width="8.85546875" style="19"/>
    <col min="1276" max="1276" width="4.7109375" style="19" customWidth="1"/>
    <col min="1277" max="1277" width="43.85546875" style="19" customWidth="1"/>
    <col min="1278" max="1278" width="18.28515625" style="19" customWidth="1"/>
    <col min="1279" max="1279" width="10" style="19" customWidth="1"/>
    <col min="1280" max="1280" width="0" style="19" hidden="1" customWidth="1"/>
    <col min="1281" max="1281" width="25.140625" style="19" customWidth="1"/>
    <col min="1282" max="1285" width="0" style="19" hidden="1" customWidth="1"/>
    <col min="1286" max="1531" width="8.85546875" style="19"/>
    <col min="1532" max="1532" width="4.7109375" style="19" customWidth="1"/>
    <col min="1533" max="1533" width="43.85546875" style="19" customWidth="1"/>
    <col min="1534" max="1534" width="18.28515625" style="19" customWidth="1"/>
    <col min="1535" max="1535" width="10" style="19" customWidth="1"/>
    <col min="1536" max="1536" width="0" style="19" hidden="1" customWidth="1"/>
    <col min="1537" max="1537" width="25.140625" style="19" customWidth="1"/>
    <col min="1538" max="1541" width="0" style="19" hidden="1" customWidth="1"/>
    <col min="1542" max="1787" width="8.85546875" style="19"/>
    <col min="1788" max="1788" width="4.7109375" style="19" customWidth="1"/>
    <col min="1789" max="1789" width="43.85546875" style="19" customWidth="1"/>
    <col min="1790" max="1790" width="18.28515625" style="19" customWidth="1"/>
    <col min="1791" max="1791" width="10" style="19" customWidth="1"/>
    <col min="1792" max="1792" width="0" style="19" hidden="1" customWidth="1"/>
    <col min="1793" max="1793" width="25.140625" style="19" customWidth="1"/>
    <col min="1794" max="1797" width="0" style="19" hidden="1" customWidth="1"/>
    <col min="1798" max="2043" width="8.85546875" style="19"/>
    <col min="2044" max="2044" width="4.7109375" style="19" customWidth="1"/>
    <col min="2045" max="2045" width="43.85546875" style="19" customWidth="1"/>
    <col min="2046" max="2046" width="18.28515625" style="19" customWidth="1"/>
    <col min="2047" max="2047" width="10" style="19" customWidth="1"/>
    <col min="2048" max="2048" width="0" style="19" hidden="1" customWidth="1"/>
    <col min="2049" max="2049" width="25.140625" style="19" customWidth="1"/>
    <col min="2050" max="2053" width="0" style="19" hidden="1" customWidth="1"/>
    <col min="2054" max="2299" width="8.85546875" style="19"/>
    <col min="2300" max="2300" width="4.7109375" style="19" customWidth="1"/>
    <col min="2301" max="2301" width="43.85546875" style="19" customWidth="1"/>
    <col min="2302" max="2302" width="18.28515625" style="19" customWidth="1"/>
    <col min="2303" max="2303" width="10" style="19" customWidth="1"/>
    <col min="2304" max="2304" width="0" style="19" hidden="1" customWidth="1"/>
    <col min="2305" max="2305" width="25.140625" style="19" customWidth="1"/>
    <col min="2306" max="2309" width="0" style="19" hidden="1" customWidth="1"/>
    <col min="2310" max="2555" width="8.85546875" style="19"/>
    <col min="2556" max="2556" width="4.7109375" style="19" customWidth="1"/>
    <col min="2557" max="2557" width="43.85546875" style="19" customWidth="1"/>
    <col min="2558" max="2558" width="18.28515625" style="19" customWidth="1"/>
    <col min="2559" max="2559" width="10" style="19" customWidth="1"/>
    <col min="2560" max="2560" width="0" style="19" hidden="1" customWidth="1"/>
    <col min="2561" max="2561" width="25.140625" style="19" customWidth="1"/>
    <col min="2562" max="2565" width="0" style="19" hidden="1" customWidth="1"/>
    <col min="2566" max="2811" width="8.85546875" style="19"/>
    <col min="2812" max="2812" width="4.7109375" style="19" customWidth="1"/>
    <col min="2813" max="2813" width="43.85546875" style="19" customWidth="1"/>
    <col min="2814" max="2814" width="18.28515625" style="19" customWidth="1"/>
    <col min="2815" max="2815" width="10" style="19" customWidth="1"/>
    <col min="2816" max="2816" width="0" style="19" hidden="1" customWidth="1"/>
    <col min="2817" max="2817" width="25.140625" style="19" customWidth="1"/>
    <col min="2818" max="2821" width="0" style="19" hidden="1" customWidth="1"/>
    <col min="2822" max="3067" width="8.85546875" style="19"/>
    <col min="3068" max="3068" width="4.7109375" style="19" customWidth="1"/>
    <col min="3069" max="3069" width="43.85546875" style="19" customWidth="1"/>
    <col min="3070" max="3070" width="18.28515625" style="19" customWidth="1"/>
    <col min="3071" max="3071" width="10" style="19" customWidth="1"/>
    <col min="3072" max="3072" width="0" style="19" hidden="1" customWidth="1"/>
    <col min="3073" max="3073" width="25.140625" style="19" customWidth="1"/>
    <col min="3074" max="3077" width="0" style="19" hidden="1" customWidth="1"/>
    <col min="3078" max="3323" width="8.85546875" style="19"/>
    <col min="3324" max="3324" width="4.7109375" style="19" customWidth="1"/>
    <col min="3325" max="3325" width="43.85546875" style="19" customWidth="1"/>
    <col min="3326" max="3326" width="18.28515625" style="19" customWidth="1"/>
    <col min="3327" max="3327" width="10" style="19" customWidth="1"/>
    <col min="3328" max="3328" width="0" style="19" hidden="1" customWidth="1"/>
    <col min="3329" max="3329" width="25.140625" style="19" customWidth="1"/>
    <col min="3330" max="3333" width="0" style="19" hidden="1" customWidth="1"/>
    <col min="3334" max="3579" width="8.85546875" style="19"/>
    <col min="3580" max="3580" width="4.7109375" style="19" customWidth="1"/>
    <col min="3581" max="3581" width="43.85546875" style="19" customWidth="1"/>
    <col min="3582" max="3582" width="18.28515625" style="19" customWidth="1"/>
    <col min="3583" max="3583" width="10" style="19" customWidth="1"/>
    <col min="3584" max="3584" width="0" style="19" hidden="1" customWidth="1"/>
    <col min="3585" max="3585" width="25.140625" style="19" customWidth="1"/>
    <col min="3586" max="3589" width="0" style="19" hidden="1" customWidth="1"/>
    <col min="3590" max="3835" width="8.85546875" style="19"/>
    <col min="3836" max="3836" width="4.7109375" style="19" customWidth="1"/>
    <col min="3837" max="3837" width="43.85546875" style="19" customWidth="1"/>
    <col min="3838" max="3838" width="18.28515625" style="19" customWidth="1"/>
    <col min="3839" max="3839" width="10" style="19" customWidth="1"/>
    <col min="3840" max="3840" width="0" style="19" hidden="1" customWidth="1"/>
    <col min="3841" max="3841" width="25.140625" style="19" customWidth="1"/>
    <col min="3842" max="3845" width="0" style="19" hidden="1" customWidth="1"/>
    <col min="3846" max="4091" width="8.85546875" style="19"/>
    <col min="4092" max="4092" width="4.7109375" style="19" customWidth="1"/>
    <col min="4093" max="4093" width="43.85546875" style="19" customWidth="1"/>
    <col min="4094" max="4094" width="18.28515625" style="19" customWidth="1"/>
    <col min="4095" max="4095" width="10" style="19" customWidth="1"/>
    <col min="4096" max="4096" width="0" style="19" hidden="1" customWidth="1"/>
    <col min="4097" max="4097" width="25.140625" style="19" customWidth="1"/>
    <col min="4098" max="4101" width="0" style="19" hidden="1" customWidth="1"/>
    <col min="4102" max="4347" width="8.85546875" style="19"/>
    <col min="4348" max="4348" width="4.7109375" style="19" customWidth="1"/>
    <col min="4349" max="4349" width="43.85546875" style="19" customWidth="1"/>
    <col min="4350" max="4350" width="18.28515625" style="19" customWidth="1"/>
    <col min="4351" max="4351" width="10" style="19" customWidth="1"/>
    <col min="4352" max="4352" width="0" style="19" hidden="1" customWidth="1"/>
    <col min="4353" max="4353" width="25.140625" style="19" customWidth="1"/>
    <col min="4354" max="4357" width="0" style="19" hidden="1" customWidth="1"/>
    <col min="4358" max="4603" width="8.85546875" style="19"/>
    <col min="4604" max="4604" width="4.7109375" style="19" customWidth="1"/>
    <col min="4605" max="4605" width="43.85546875" style="19" customWidth="1"/>
    <col min="4606" max="4606" width="18.28515625" style="19" customWidth="1"/>
    <col min="4607" max="4607" width="10" style="19" customWidth="1"/>
    <col min="4608" max="4608" width="0" style="19" hidden="1" customWidth="1"/>
    <col min="4609" max="4609" width="25.140625" style="19" customWidth="1"/>
    <col min="4610" max="4613" width="0" style="19" hidden="1" customWidth="1"/>
    <col min="4614" max="4859" width="8.85546875" style="19"/>
    <col min="4860" max="4860" width="4.7109375" style="19" customWidth="1"/>
    <col min="4861" max="4861" width="43.85546875" style="19" customWidth="1"/>
    <col min="4862" max="4862" width="18.28515625" style="19" customWidth="1"/>
    <col min="4863" max="4863" width="10" style="19" customWidth="1"/>
    <col min="4864" max="4864" width="0" style="19" hidden="1" customWidth="1"/>
    <col min="4865" max="4865" width="25.140625" style="19" customWidth="1"/>
    <col min="4866" max="4869" width="0" style="19" hidden="1" customWidth="1"/>
    <col min="4870" max="5115" width="8.85546875" style="19"/>
    <col min="5116" max="5116" width="4.7109375" style="19" customWidth="1"/>
    <col min="5117" max="5117" width="43.85546875" style="19" customWidth="1"/>
    <col min="5118" max="5118" width="18.28515625" style="19" customWidth="1"/>
    <col min="5119" max="5119" width="10" style="19" customWidth="1"/>
    <col min="5120" max="5120" width="0" style="19" hidden="1" customWidth="1"/>
    <col min="5121" max="5121" width="25.140625" style="19" customWidth="1"/>
    <col min="5122" max="5125" width="0" style="19" hidden="1" customWidth="1"/>
    <col min="5126" max="5371" width="8.85546875" style="19"/>
    <col min="5372" max="5372" width="4.7109375" style="19" customWidth="1"/>
    <col min="5373" max="5373" width="43.85546875" style="19" customWidth="1"/>
    <col min="5374" max="5374" width="18.28515625" style="19" customWidth="1"/>
    <col min="5375" max="5375" width="10" style="19" customWidth="1"/>
    <col min="5376" max="5376" width="0" style="19" hidden="1" customWidth="1"/>
    <col min="5377" max="5377" width="25.140625" style="19" customWidth="1"/>
    <col min="5378" max="5381" width="0" style="19" hidden="1" customWidth="1"/>
    <col min="5382" max="5627" width="8.85546875" style="19"/>
    <col min="5628" max="5628" width="4.7109375" style="19" customWidth="1"/>
    <col min="5629" max="5629" width="43.85546875" style="19" customWidth="1"/>
    <col min="5630" max="5630" width="18.28515625" style="19" customWidth="1"/>
    <col min="5631" max="5631" width="10" style="19" customWidth="1"/>
    <col min="5632" max="5632" width="0" style="19" hidden="1" customWidth="1"/>
    <col min="5633" max="5633" width="25.140625" style="19" customWidth="1"/>
    <col min="5634" max="5637" width="0" style="19" hidden="1" customWidth="1"/>
    <col min="5638" max="5883" width="8.85546875" style="19"/>
    <col min="5884" max="5884" width="4.7109375" style="19" customWidth="1"/>
    <col min="5885" max="5885" width="43.85546875" style="19" customWidth="1"/>
    <col min="5886" max="5886" width="18.28515625" style="19" customWidth="1"/>
    <col min="5887" max="5887" width="10" style="19" customWidth="1"/>
    <col min="5888" max="5888" width="0" style="19" hidden="1" customWidth="1"/>
    <col min="5889" max="5889" width="25.140625" style="19" customWidth="1"/>
    <col min="5890" max="5893" width="0" style="19" hidden="1" customWidth="1"/>
    <col min="5894" max="6139" width="8.85546875" style="19"/>
    <col min="6140" max="6140" width="4.7109375" style="19" customWidth="1"/>
    <col min="6141" max="6141" width="43.85546875" style="19" customWidth="1"/>
    <col min="6142" max="6142" width="18.28515625" style="19" customWidth="1"/>
    <col min="6143" max="6143" width="10" style="19" customWidth="1"/>
    <col min="6144" max="6144" width="0" style="19" hidden="1" customWidth="1"/>
    <col min="6145" max="6145" width="25.140625" style="19" customWidth="1"/>
    <col min="6146" max="6149" width="0" style="19" hidden="1" customWidth="1"/>
    <col min="6150" max="6395" width="8.85546875" style="19"/>
    <col min="6396" max="6396" width="4.7109375" style="19" customWidth="1"/>
    <col min="6397" max="6397" width="43.85546875" style="19" customWidth="1"/>
    <col min="6398" max="6398" width="18.28515625" style="19" customWidth="1"/>
    <col min="6399" max="6399" width="10" style="19" customWidth="1"/>
    <col min="6400" max="6400" width="0" style="19" hidden="1" customWidth="1"/>
    <col min="6401" max="6401" width="25.140625" style="19" customWidth="1"/>
    <col min="6402" max="6405" width="0" style="19" hidden="1" customWidth="1"/>
    <col min="6406" max="6651" width="8.85546875" style="19"/>
    <col min="6652" max="6652" width="4.7109375" style="19" customWidth="1"/>
    <col min="6653" max="6653" width="43.85546875" style="19" customWidth="1"/>
    <col min="6654" max="6654" width="18.28515625" style="19" customWidth="1"/>
    <col min="6655" max="6655" width="10" style="19" customWidth="1"/>
    <col min="6656" max="6656" width="0" style="19" hidden="1" customWidth="1"/>
    <col min="6657" max="6657" width="25.140625" style="19" customWidth="1"/>
    <col min="6658" max="6661" width="0" style="19" hidden="1" customWidth="1"/>
    <col min="6662" max="6907" width="8.85546875" style="19"/>
    <col min="6908" max="6908" width="4.7109375" style="19" customWidth="1"/>
    <col min="6909" max="6909" width="43.85546875" style="19" customWidth="1"/>
    <col min="6910" max="6910" width="18.28515625" style="19" customWidth="1"/>
    <col min="6911" max="6911" width="10" style="19" customWidth="1"/>
    <col min="6912" max="6912" width="0" style="19" hidden="1" customWidth="1"/>
    <col min="6913" max="6913" width="25.140625" style="19" customWidth="1"/>
    <col min="6914" max="6917" width="0" style="19" hidden="1" customWidth="1"/>
    <col min="6918" max="7163" width="8.85546875" style="19"/>
    <col min="7164" max="7164" width="4.7109375" style="19" customWidth="1"/>
    <col min="7165" max="7165" width="43.85546875" style="19" customWidth="1"/>
    <col min="7166" max="7166" width="18.28515625" style="19" customWidth="1"/>
    <col min="7167" max="7167" width="10" style="19" customWidth="1"/>
    <col min="7168" max="7168" width="0" style="19" hidden="1" customWidth="1"/>
    <col min="7169" max="7169" width="25.140625" style="19" customWidth="1"/>
    <col min="7170" max="7173" width="0" style="19" hidden="1" customWidth="1"/>
    <col min="7174" max="7419" width="8.85546875" style="19"/>
    <col min="7420" max="7420" width="4.7109375" style="19" customWidth="1"/>
    <col min="7421" max="7421" width="43.85546875" style="19" customWidth="1"/>
    <col min="7422" max="7422" width="18.28515625" style="19" customWidth="1"/>
    <col min="7423" max="7423" width="10" style="19" customWidth="1"/>
    <col min="7424" max="7424" width="0" style="19" hidden="1" customWidth="1"/>
    <col min="7425" max="7425" width="25.140625" style="19" customWidth="1"/>
    <col min="7426" max="7429" width="0" style="19" hidden="1" customWidth="1"/>
    <col min="7430" max="7675" width="8.85546875" style="19"/>
    <col min="7676" max="7676" width="4.7109375" style="19" customWidth="1"/>
    <col min="7677" max="7677" width="43.85546875" style="19" customWidth="1"/>
    <col min="7678" max="7678" width="18.28515625" style="19" customWidth="1"/>
    <col min="7679" max="7679" width="10" style="19" customWidth="1"/>
    <col min="7680" max="7680" width="0" style="19" hidden="1" customWidth="1"/>
    <col min="7681" max="7681" width="25.140625" style="19" customWidth="1"/>
    <col min="7682" max="7685" width="0" style="19" hidden="1" customWidth="1"/>
    <col min="7686" max="7931" width="8.85546875" style="19"/>
    <col min="7932" max="7932" width="4.7109375" style="19" customWidth="1"/>
    <col min="7933" max="7933" width="43.85546875" style="19" customWidth="1"/>
    <col min="7934" max="7934" width="18.28515625" style="19" customWidth="1"/>
    <col min="7935" max="7935" width="10" style="19" customWidth="1"/>
    <col min="7936" max="7936" width="0" style="19" hidden="1" customWidth="1"/>
    <col min="7937" max="7937" width="25.140625" style="19" customWidth="1"/>
    <col min="7938" max="7941" width="0" style="19" hidden="1" customWidth="1"/>
    <col min="7942" max="8187" width="8.85546875" style="19"/>
    <col min="8188" max="8188" width="4.7109375" style="19" customWidth="1"/>
    <col min="8189" max="8189" width="43.85546875" style="19" customWidth="1"/>
    <col min="8190" max="8190" width="18.28515625" style="19" customWidth="1"/>
    <col min="8191" max="8191" width="10" style="19" customWidth="1"/>
    <col min="8192" max="8192" width="0" style="19" hidden="1" customWidth="1"/>
    <col min="8193" max="8193" width="25.140625" style="19" customWidth="1"/>
    <col min="8194" max="8197" width="0" style="19" hidden="1" customWidth="1"/>
    <col min="8198" max="8443" width="8.85546875" style="19"/>
    <col min="8444" max="8444" width="4.7109375" style="19" customWidth="1"/>
    <col min="8445" max="8445" width="43.85546875" style="19" customWidth="1"/>
    <col min="8446" max="8446" width="18.28515625" style="19" customWidth="1"/>
    <col min="8447" max="8447" width="10" style="19" customWidth="1"/>
    <col min="8448" max="8448" width="0" style="19" hidden="1" customWidth="1"/>
    <col min="8449" max="8449" width="25.140625" style="19" customWidth="1"/>
    <col min="8450" max="8453" width="0" style="19" hidden="1" customWidth="1"/>
    <col min="8454" max="8699" width="8.85546875" style="19"/>
    <col min="8700" max="8700" width="4.7109375" style="19" customWidth="1"/>
    <col min="8701" max="8701" width="43.85546875" style="19" customWidth="1"/>
    <col min="8702" max="8702" width="18.28515625" style="19" customWidth="1"/>
    <col min="8703" max="8703" width="10" style="19" customWidth="1"/>
    <col min="8704" max="8704" width="0" style="19" hidden="1" customWidth="1"/>
    <col min="8705" max="8705" width="25.140625" style="19" customWidth="1"/>
    <col min="8706" max="8709" width="0" style="19" hidden="1" customWidth="1"/>
    <col min="8710" max="8955" width="8.85546875" style="19"/>
    <col min="8956" max="8956" width="4.7109375" style="19" customWidth="1"/>
    <col min="8957" max="8957" width="43.85546875" style="19" customWidth="1"/>
    <col min="8958" max="8958" width="18.28515625" style="19" customWidth="1"/>
    <col min="8959" max="8959" width="10" style="19" customWidth="1"/>
    <col min="8960" max="8960" width="0" style="19" hidden="1" customWidth="1"/>
    <col min="8961" max="8961" width="25.140625" style="19" customWidth="1"/>
    <col min="8962" max="8965" width="0" style="19" hidden="1" customWidth="1"/>
    <col min="8966" max="9211" width="8.85546875" style="19"/>
    <col min="9212" max="9212" width="4.7109375" style="19" customWidth="1"/>
    <col min="9213" max="9213" width="43.85546875" style="19" customWidth="1"/>
    <col min="9214" max="9214" width="18.28515625" style="19" customWidth="1"/>
    <col min="9215" max="9215" width="10" style="19" customWidth="1"/>
    <col min="9216" max="9216" width="0" style="19" hidden="1" customWidth="1"/>
    <col min="9217" max="9217" width="25.140625" style="19" customWidth="1"/>
    <col min="9218" max="9221" width="0" style="19" hidden="1" customWidth="1"/>
    <col min="9222" max="9467" width="8.85546875" style="19"/>
    <col min="9468" max="9468" width="4.7109375" style="19" customWidth="1"/>
    <col min="9469" max="9469" width="43.85546875" style="19" customWidth="1"/>
    <col min="9470" max="9470" width="18.28515625" style="19" customWidth="1"/>
    <col min="9471" max="9471" width="10" style="19" customWidth="1"/>
    <col min="9472" max="9472" width="0" style="19" hidden="1" customWidth="1"/>
    <col min="9473" max="9473" width="25.140625" style="19" customWidth="1"/>
    <col min="9474" max="9477" width="0" style="19" hidden="1" customWidth="1"/>
    <col min="9478" max="9723" width="8.85546875" style="19"/>
    <col min="9724" max="9724" width="4.7109375" style="19" customWidth="1"/>
    <col min="9725" max="9725" width="43.85546875" style="19" customWidth="1"/>
    <col min="9726" max="9726" width="18.28515625" style="19" customWidth="1"/>
    <col min="9727" max="9727" width="10" style="19" customWidth="1"/>
    <col min="9728" max="9728" width="0" style="19" hidden="1" customWidth="1"/>
    <col min="9729" max="9729" width="25.140625" style="19" customWidth="1"/>
    <col min="9730" max="9733" width="0" style="19" hidden="1" customWidth="1"/>
    <col min="9734" max="9979" width="8.85546875" style="19"/>
    <col min="9980" max="9980" width="4.7109375" style="19" customWidth="1"/>
    <col min="9981" max="9981" width="43.85546875" style="19" customWidth="1"/>
    <col min="9982" max="9982" width="18.28515625" style="19" customWidth="1"/>
    <col min="9983" max="9983" width="10" style="19" customWidth="1"/>
    <col min="9984" max="9984" width="0" style="19" hidden="1" customWidth="1"/>
    <col min="9985" max="9985" width="25.140625" style="19" customWidth="1"/>
    <col min="9986" max="9989" width="0" style="19" hidden="1" customWidth="1"/>
    <col min="9990" max="10235" width="8.85546875" style="19"/>
    <col min="10236" max="10236" width="4.7109375" style="19" customWidth="1"/>
    <col min="10237" max="10237" width="43.85546875" style="19" customWidth="1"/>
    <col min="10238" max="10238" width="18.28515625" style="19" customWidth="1"/>
    <col min="10239" max="10239" width="10" style="19" customWidth="1"/>
    <col min="10240" max="10240" width="0" style="19" hidden="1" customWidth="1"/>
    <col min="10241" max="10241" width="25.140625" style="19" customWidth="1"/>
    <col min="10242" max="10245" width="0" style="19" hidden="1" customWidth="1"/>
    <col min="10246" max="10491" width="8.85546875" style="19"/>
    <col min="10492" max="10492" width="4.7109375" style="19" customWidth="1"/>
    <col min="10493" max="10493" width="43.85546875" style="19" customWidth="1"/>
    <col min="10494" max="10494" width="18.28515625" style="19" customWidth="1"/>
    <col min="10495" max="10495" width="10" style="19" customWidth="1"/>
    <col min="10496" max="10496" width="0" style="19" hidden="1" customWidth="1"/>
    <col min="10497" max="10497" width="25.140625" style="19" customWidth="1"/>
    <col min="10498" max="10501" width="0" style="19" hidden="1" customWidth="1"/>
    <col min="10502" max="10747" width="8.85546875" style="19"/>
    <col min="10748" max="10748" width="4.7109375" style="19" customWidth="1"/>
    <col min="10749" max="10749" width="43.85546875" style="19" customWidth="1"/>
    <col min="10750" max="10750" width="18.28515625" style="19" customWidth="1"/>
    <col min="10751" max="10751" width="10" style="19" customWidth="1"/>
    <col min="10752" max="10752" width="0" style="19" hidden="1" customWidth="1"/>
    <col min="10753" max="10753" width="25.140625" style="19" customWidth="1"/>
    <col min="10754" max="10757" width="0" style="19" hidden="1" customWidth="1"/>
    <col min="10758" max="11003" width="8.85546875" style="19"/>
    <col min="11004" max="11004" width="4.7109375" style="19" customWidth="1"/>
    <col min="11005" max="11005" width="43.85546875" style="19" customWidth="1"/>
    <col min="11006" max="11006" width="18.28515625" style="19" customWidth="1"/>
    <col min="11007" max="11007" width="10" style="19" customWidth="1"/>
    <col min="11008" max="11008" width="0" style="19" hidden="1" customWidth="1"/>
    <col min="11009" max="11009" width="25.140625" style="19" customWidth="1"/>
    <col min="11010" max="11013" width="0" style="19" hidden="1" customWidth="1"/>
    <col min="11014" max="11259" width="8.85546875" style="19"/>
    <col min="11260" max="11260" width="4.7109375" style="19" customWidth="1"/>
    <col min="11261" max="11261" width="43.85546875" style="19" customWidth="1"/>
    <col min="11262" max="11262" width="18.28515625" style="19" customWidth="1"/>
    <col min="11263" max="11263" width="10" style="19" customWidth="1"/>
    <col min="11264" max="11264" width="0" style="19" hidden="1" customWidth="1"/>
    <col min="11265" max="11265" width="25.140625" style="19" customWidth="1"/>
    <col min="11266" max="11269" width="0" style="19" hidden="1" customWidth="1"/>
    <col min="11270" max="11515" width="8.85546875" style="19"/>
    <col min="11516" max="11516" width="4.7109375" style="19" customWidth="1"/>
    <col min="11517" max="11517" width="43.85546875" style="19" customWidth="1"/>
    <col min="11518" max="11518" width="18.28515625" style="19" customWidth="1"/>
    <col min="11519" max="11519" width="10" style="19" customWidth="1"/>
    <col min="11520" max="11520" width="0" style="19" hidden="1" customWidth="1"/>
    <col min="11521" max="11521" width="25.140625" style="19" customWidth="1"/>
    <col min="11522" max="11525" width="0" style="19" hidden="1" customWidth="1"/>
    <col min="11526" max="11771" width="8.85546875" style="19"/>
    <col min="11772" max="11772" width="4.7109375" style="19" customWidth="1"/>
    <col min="11773" max="11773" width="43.85546875" style="19" customWidth="1"/>
    <col min="11774" max="11774" width="18.28515625" style="19" customWidth="1"/>
    <col min="11775" max="11775" width="10" style="19" customWidth="1"/>
    <col min="11776" max="11776" width="0" style="19" hidden="1" customWidth="1"/>
    <col min="11777" max="11777" width="25.140625" style="19" customWidth="1"/>
    <col min="11778" max="11781" width="0" style="19" hidden="1" customWidth="1"/>
    <col min="11782" max="12027" width="8.85546875" style="19"/>
    <col min="12028" max="12028" width="4.7109375" style="19" customWidth="1"/>
    <col min="12029" max="12029" width="43.85546875" style="19" customWidth="1"/>
    <col min="12030" max="12030" width="18.28515625" style="19" customWidth="1"/>
    <col min="12031" max="12031" width="10" style="19" customWidth="1"/>
    <col min="12032" max="12032" width="0" style="19" hidden="1" customWidth="1"/>
    <col min="12033" max="12033" width="25.140625" style="19" customWidth="1"/>
    <col min="12034" max="12037" width="0" style="19" hidden="1" customWidth="1"/>
    <col min="12038" max="12283" width="8.85546875" style="19"/>
    <col min="12284" max="12284" width="4.7109375" style="19" customWidth="1"/>
    <col min="12285" max="12285" width="43.85546875" style="19" customWidth="1"/>
    <col min="12286" max="12286" width="18.28515625" style="19" customWidth="1"/>
    <col min="12287" max="12287" width="10" style="19" customWidth="1"/>
    <col min="12288" max="12288" width="0" style="19" hidden="1" customWidth="1"/>
    <col min="12289" max="12289" width="25.140625" style="19" customWidth="1"/>
    <col min="12290" max="12293" width="0" style="19" hidden="1" customWidth="1"/>
    <col min="12294" max="12539" width="8.85546875" style="19"/>
    <col min="12540" max="12540" width="4.7109375" style="19" customWidth="1"/>
    <col min="12541" max="12541" width="43.85546875" style="19" customWidth="1"/>
    <col min="12542" max="12542" width="18.28515625" style="19" customWidth="1"/>
    <col min="12543" max="12543" width="10" style="19" customWidth="1"/>
    <col min="12544" max="12544" width="0" style="19" hidden="1" customWidth="1"/>
    <col min="12545" max="12545" width="25.140625" style="19" customWidth="1"/>
    <col min="12546" max="12549" width="0" style="19" hidden="1" customWidth="1"/>
    <col min="12550" max="12795" width="8.85546875" style="19"/>
    <col min="12796" max="12796" width="4.7109375" style="19" customWidth="1"/>
    <col min="12797" max="12797" width="43.85546875" style="19" customWidth="1"/>
    <col min="12798" max="12798" width="18.28515625" style="19" customWidth="1"/>
    <col min="12799" max="12799" width="10" style="19" customWidth="1"/>
    <col min="12800" max="12800" width="0" style="19" hidden="1" customWidth="1"/>
    <col min="12801" max="12801" width="25.140625" style="19" customWidth="1"/>
    <col min="12802" max="12805" width="0" style="19" hidden="1" customWidth="1"/>
    <col min="12806" max="13051" width="8.85546875" style="19"/>
    <col min="13052" max="13052" width="4.7109375" style="19" customWidth="1"/>
    <col min="13053" max="13053" width="43.85546875" style="19" customWidth="1"/>
    <col min="13054" max="13054" width="18.28515625" style="19" customWidth="1"/>
    <col min="13055" max="13055" width="10" style="19" customWidth="1"/>
    <col min="13056" max="13056" width="0" style="19" hidden="1" customWidth="1"/>
    <col min="13057" max="13057" width="25.140625" style="19" customWidth="1"/>
    <col min="13058" max="13061" width="0" style="19" hidden="1" customWidth="1"/>
    <col min="13062" max="13307" width="8.85546875" style="19"/>
    <col min="13308" max="13308" width="4.7109375" style="19" customWidth="1"/>
    <col min="13309" max="13309" width="43.85546875" style="19" customWidth="1"/>
    <col min="13310" max="13310" width="18.28515625" style="19" customWidth="1"/>
    <col min="13311" max="13311" width="10" style="19" customWidth="1"/>
    <col min="13312" max="13312" width="0" style="19" hidden="1" customWidth="1"/>
    <col min="13313" max="13313" width="25.140625" style="19" customWidth="1"/>
    <col min="13314" max="13317" width="0" style="19" hidden="1" customWidth="1"/>
    <col min="13318" max="13563" width="8.85546875" style="19"/>
    <col min="13564" max="13564" width="4.7109375" style="19" customWidth="1"/>
    <col min="13565" max="13565" width="43.85546875" style="19" customWidth="1"/>
    <col min="13566" max="13566" width="18.28515625" style="19" customWidth="1"/>
    <col min="13567" max="13567" width="10" style="19" customWidth="1"/>
    <col min="13568" max="13568" width="0" style="19" hidden="1" customWidth="1"/>
    <col min="13569" max="13569" width="25.140625" style="19" customWidth="1"/>
    <col min="13570" max="13573" width="0" style="19" hidden="1" customWidth="1"/>
    <col min="13574" max="13819" width="8.85546875" style="19"/>
    <col min="13820" max="13820" width="4.7109375" style="19" customWidth="1"/>
    <col min="13821" max="13821" width="43.85546875" style="19" customWidth="1"/>
    <col min="13822" max="13822" width="18.28515625" style="19" customWidth="1"/>
    <col min="13823" max="13823" width="10" style="19" customWidth="1"/>
    <col min="13824" max="13824" width="0" style="19" hidden="1" customWidth="1"/>
    <col min="13825" max="13825" width="25.140625" style="19" customWidth="1"/>
    <col min="13826" max="13829" width="0" style="19" hidden="1" customWidth="1"/>
    <col min="13830" max="14075" width="8.85546875" style="19"/>
    <col min="14076" max="14076" width="4.7109375" style="19" customWidth="1"/>
    <col min="14077" max="14077" width="43.85546875" style="19" customWidth="1"/>
    <col min="14078" max="14078" width="18.28515625" style="19" customWidth="1"/>
    <col min="14079" max="14079" width="10" style="19" customWidth="1"/>
    <col min="14080" max="14080" width="0" style="19" hidden="1" customWidth="1"/>
    <col min="14081" max="14081" width="25.140625" style="19" customWidth="1"/>
    <col min="14082" max="14085" width="0" style="19" hidden="1" customWidth="1"/>
    <col min="14086" max="14331" width="8.85546875" style="19"/>
    <col min="14332" max="14332" width="4.7109375" style="19" customWidth="1"/>
    <col min="14333" max="14333" width="43.85546875" style="19" customWidth="1"/>
    <col min="14334" max="14334" width="18.28515625" style="19" customWidth="1"/>
    <col min="14335" max="14335" width="10" style="19" customWidth="1"/>
    <col min="14336" max="14336" width="0" style="19" hidden="1" customWidth="1"/>
    <col min="14337" max="14337" width="25.140625" style="19" customWidth="1"/>
    <col min="14338" max="14341" width="0" style="19" hidden="1" customWidth="1"/>
    <col min="14342" max="14587" width="8.85546875" style="19"/>
    <col min="14588" max="14588" width="4.7109375" style="19" customWidth="1"/>
    <col min="14589" max="14589" width="43.85546875" style="19" customWidth="1"/>
    <col min="14590" max="14590" width="18.28515625" style="19" customWidth="1"/>
    <col min="14591" max="14591" width="10" style="19" customWidth="1"/>
    <col min="14592" max="14592" width="0" style="19" hidden="1" customWidth="1"/>
    <col min="14593" max="14593" width="25.140625" style="19" customWidth="1"/>
    <col min="14594" max="14597" width="0" style="19" hidden="1" customWidth="1"/>
    <col min="14598" max="14843" width="8.85546875" style="19"/>
    <col min="14844" max="14844" width="4.7109375" style="19" customWidth="1"/>
    <col min="14845" max="14845" width="43.85546875" style="19" customWidth="1"/>
    <col min="14846" max="14846" width="18.28515625" style="19" customWidth="1"/>
    <col min="14847" max="14847" width="10" style="19" customWidth="1"/>
    <col min="14848" max="14848" width="0" style="19" hidden="1" customWidth="1"/>
    <col min="14849" max="14849" width="25.140625" style="19" customWidth="1"/>
    <col min="14850" max="14853" width="0" style="19" hidden="1" customWidth="1"/>
    <col min="14854" max="15099" width="8.85546875" style="19"/>
    <col min="15100" max="15100" width="4.7109375" style="19" customWidth="1"/>
    <col min="15101" max="15101" width="43.85546875" style="19" customWidth="1"/>
    <col min="15102" max="15102" width="18.28515625" style="19" customWidth="1"/>
    <col min="15103" max="15103" width="10" style="19" customWidth="1"/>
    <col min="15104" max="15104" width="0" style="19" hidden="1" customWidth="1"/>
    <col min="15105" max="15105" width="25.140625" style="19" customWidth="1"/>
    <col min="15106" max="15109" width="0" style="19" hidden="1" customWidth="1"/>
    <col min="15110" max="15355" width="8.85546875" style="19"/>
    <col min="15356" max="15356" width="4.7109375" style="19" customWidth="1"/>
    <col min="15357" max="15357" width="43.85546875" style="19" customWidth="1"/>
    <col min="15358" max="15358" width="18.28515625" style="19" customWidth="1"/>
    <col min="15359" max="15359" width="10" style="19" customWidth="1"/>
    <col min="15360" max="15360" width="0" style="19" hidden="1" customWidth="1"/>
    <col min="15361" max="15361" width="25.140625" style="19" customWidth="1"/>
    <col min="15362" max="15365" width="0" style="19" hidden="1" customWidth="1"/>
    <col min="15366" max="15611" width="8.85546875" style="19"/>
    <col min="15612" max="15612" width="4.7109375" style="19" customWidth="1"/>
    <col min="15613" max="15613" width="43.85546875" style="19" customWidth="1"/>
    <col min="15614" max="15614" width="18.28515625" style="19" customWidth="1"/>
    <col min="15615" max="15615" width="10" style="19" customWidth="1"/>
    <col min="15616" max="15616" width="0" style="19" hidden="1" customWidth="1"/>
    <col min="15617" max="15617" width="25.140625" style="19" customWidth="1"/>
    <col min="15618" max="15621" width="0" style="19" hidden="1" customWidth="1"/>
    <col min="15622" max="15867" width="8.85546875" style="19"/>
    <col min="15868" max="15868" width="4.7109375" style="19" customWidth="1"/>
    <col min="15869" max="15869" width="43.85546875" style="19" customWidth="1"/>
    <col min="15870" max="15870" width="18.28515625" style="19" customWidth="1"/>
    <col min="15871" max="15871" width="10" style="19" customWidth="1"/>
    <col min="15872" max="15872" width="0" style="19" hidden="1" customWidth="1"/>
    <col min="15873" max="15873" width="25.140625" style="19" customWidth="1"/>
    <col min="15874" max="15877" width="0" style="19" hidden="1" customWidth="1"/>
    <col min="15878" max="16123" width="8.85546875" style="19"/>
    <col min="16124" max="16124" width="4.7109375" style="19" customWidth="1"/>
    <col min="16125" max="16125" width="43.85546875" style="19" customWidth="1"/>
    <col min="16126" max="16126" width="18.28515625" style="19" customWidth="1"/>
    <col min="16127" max="16127" width="10" style="19" customWidth="1"/>
    <col min="16128" max="16128" width="0" style="19" hidden="1" customWidth="1"/>
    <col min="16129" max="16129" width="25.140625" style="19" customWidth="1"/>
    <col min="16130" max="16133" width="0" style="19" hidden="1" customWidth="1"/>
    <col min="16134" max="16384" width="8.85546875" style="19"/>
  </cols>
  <sheetData>
    <row r="1" spans="1:5" ht="21.75" customHeight="1" x14ac:dyDescent="0.25">
      <c r="B1" s="130" t="s">
        <v>3065</v>
      </c>
      <c r="C1" s="130"/>
      <c r="D1" s="130"/>
      <c r="E1" s="130"/>
    </row>
    <row r="2" spans="1:5" ht="19.5" customHeight="1" x14ac:dyDescent="0.25">
      <c r="A2" s="130" t="s">
        <v>2958</v>
      </c>
      <c r="B2" s="130"/>
      <c r="C2" s="130"/>
      <c r="D2" s="130"/>
      <c r="E2" s="130"/>
    </row>
    <row r="3" spans="1:5" ht="23.25" customHeight="1" x14ac:dyDescent="0.25">
      <c r="A3" s="130" t="s">
        <v>3067</v>
      </c>
      <c r="B3" s="130"/>
      <c r="C3" s="130"/>
      <c r="D3" s="130"/>
      <c r="E3" s="130"/>
    </row>
    <row r="4" spans="1:5" ht="20.25" customHeight="1" x14ac:dyDescent="0.25">
      <c r="A4" s="130" t="s">
        <v>3068</v>
      </c>
      <c r="B4" s="130"/>
      <c r="C4" s="130"/>
      <c r="D4" s="130"/>
      <c r="E4" s="130"/>
    </row>
    <row r="5" spans="1:5" ht="25.5" customHeight="1" x14ac:dyDescent="0.25">
      <c r="B5" s="130" t="s">
        <v>3078</v>
      </c>
      <c r="C5" s="130"/>
      <c r="D5" s="130"/>
      <c r="E5" s="130"/>
    </row>
    <row r="6" spans="1:5" ht="27" customHeight="1" x14ac:dyDescent="0.25">
      <c r="B6" s="130" t="s">
        <v>1</v>
      </c>
      <c r="C6" s="130"/>
      <c r="D6" s="130"/>
      <c r="E6" s="130"/>
    </row>
    <row r="7" spans="1:5" ht="20.25" customHeight="1" x14ac:dyDescent="0.25">
      <c r="A7" s="130" t="s">
        <v>2959</v>
      </c>
      <c r="B7" s="130"/>
      <c r="C7" s="130"/>
      <c r="D7" s="130"/>
      <c r="E7" s="130"/>
    </row>
    <row r="8" spans="1:5" ht="10.5" customHeight="1" x14ac:dyDescent="0.25">
      <c r="B8" s="19"/>
      <c r="C8" s="19"/>
      <c r="E8" s="119"/>
    </row>
    <row r="9" spans="1:5" ht="20.25" customHeight="1" x14ac:dyDescent="0.25">
      <c r="B9" s="130" t="s">
        <v>2960</v>
      </c>
      <c r="C9" s="130"/>
      <c r="D9" s="130"/>
      <c r="E9" s="130"/>
    </row>
    <row r="10" spans="1:5" ht="11.25" customHeight="1" x14ac:dyDescent="0.25">
      <c r="B10" s="19"/>
      <c r="C10" s="19"/>
      <c r="E10" s="119"/>
    </row>
    <row r="11" spans="1:5" ht="42" customHeight="1" x14ac:dyDescent="0.25">
      <c r="B11" s="130" t="s">
        <v>4</v>
      </c>
      <c r="C11" s="130"/>
      <c r="D11" s="130"/>
      <c r="E11" s="130"/>
    </row>
    <row r="12" spans="1:5" ht="20.25" customHeight="1" x14ac:dyDescent="0.25">
      <c r="B12" s="129" t="s">
        <v>3055</v>
      </c>
      <c r="C12" s="129"/>
      <c r="D12" s="129"/>
      <c r="E12" s="129"/>
    </row>
    <row r="13" spans="1:5" ht="20.25" customHeight="1" x14ac:dyDescent="0.25">
      <c r="B13" s="129" t="s">
        <v>2961</v>
      </c>
      <c r="C13" s="129"/>
      <c r="D13" s="129"/>
      <c r="E13" s="129"/>
    </row>
    <row r="14" spans="1:5" ht="8.25" customHeight="1" x14ac:dyDescent="0.25">
      <c r="B14" s="19"/>
      <c r="C14" s="19"/>
    </row>
    <row r="15" spans="1:5" ht="21.75" customHeight="1" x14ac:dyDescent="0.25">
      <c r="B15" s="130" t="s">
        <v>2962</v>
      </c>
      <c r="C15" s="130"/>
      <c r="D15" s="130"/>
      <c r="E15" s="130"/>
    </row>
    <row r="16" spans="1:5" ht="15" customHeight="1" x14ac:dyDescent="0.25">
      <c r="B16" s="19"/>
      <c r="C16" s="19"/>
      <c r="E16" s="21"/>
    </row>
    <row r="17" spans="1:40" hidden="1" x14ac:dyDescent="0.25">
      <c r="E17" s="21"/>
    </row>
    <row r="18" spans="1:40" ht="27.75" customHeight="1" x14ac:dyDescent="0.25">
      <c r="A18" s="131" t="s">
        <v>8</v>
      </c>
      <c r="B18" s="131"/>
      <c r="C18" s="131"/>
      <c r="D18" s="131"/>
      <c r="E18" s="120"/>
    </row>
    <row r="19" spans="1:40" s="18" customFormat="1" ht="48.75" customHeight="1" x14ac:dyDescent="0.25">
      <c r="A19" s="131" t="s">
        <v>3075</v>
      </c>
      <c r="B19" s="131"/>
      <c r="C19" s="131"/>
      <c r="D19" s="131"/>
      <c r="E19" s="13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s="22" customFormat="1" ht="21" customHeight="1" x14ac:dyDescent="0.25">
      <c r="A20" s="132" t="s">
        <v>9</v>
      </c>
      <c r="B20" s="132" t="s">
        <v>10</v>
      </c>
      <c r="C20" s="161" t="s">
        <v>3073</v>
      </c>
      <c r="D20" s="162"/>
      <c r="E20" s="16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s="23" customFormat="1" ht="215.25" customHeight="1" x14ac:dyDescent="0.25">
      <c r="A21" s="132"/>
      <c r="B21" s="132"/>
      <c r="C21" s="106" t="s">
        <v>11</v>
      </c>
      <c r="D21" s="107" t="s">
        <v>3074</v>
      </c>
      <c r="E21" s="25" t="s">
        <v>2963</v>
      </c>
      <c r="F21" s="19"/>
      <c r="G21" s="19"/>
      <c r="H21" s="1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s="23" customFormat="1" ht="24.75" customHeight="1" x14ac:dyDescent="0.25">
      <c r="A22" s="133" t="s">
        <v>13</v>
      </c>
      <c r="B22" s="134"/>
      <c r="C22" s="134"/>
      <c r="D22" s="134"/>
      <c r="E22" s="108"/>
      <c r="F22" s="18"/>
      <c r="G22" s="18"/>
      <c r="H22" s="1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s="24" customFormat="1" ht="35.25" customHeight="1" x14ac:dyDescent="0.25">
      <c r="A23" s="128">
        <v>1</v>
      </c>
      <c r="B23" s="6" t="s">
        <v>2964</v>
      </c>
      <c r="C23" s="6" t="s">
        <v>54</v>
      </c>
      <c r="D23" s="114" t="s">
        <v>15</v>
      </c>
      <c r="E23" s="15">
        <v>25680</v>
      </c>
      <c r="F23" s="22"/>
      <c r="G23" s="22"/>
      <c r="H23" s="22"/>
    </row>
    <row r="24" spans="1:40" s="24" customFormat="1" ht="35.25" customHeight="1" x14ac:dyDescent="0.25">
      <c r="A24" s="128"/>
      <c r="B24" s="6" t="s">
        <v>2965</v>
      </c>
      <c r="C24" s="6" t="s">
        <v>54</v>
      </c>
      <c r="D24" s="114" t="s">
        <v>15</v>
      </c>
      <c r="E24" s="15">
        <v>19260</v>
      </c>
      <c r="F24" s="19"/>
      <c r="G24" s="19"/>
      <c r="H24" s="19"/>
    </row>
    <row r="25" spans="1:40" s="24" customFormat="1" ht="35.25" customHeight="1" x14ac:dyDescent="0.25">
      <c r="A25" s="128">
        <f>A23+1</f>
        <v>2</v>
      </c>
      <c r="B25" s="6" t="s">
        <v>2984</v>
      </c>
      <c r="C25" s="6" t="s">
        <v>2975</v>
      </c>
      <c r="D25" s="114" t="s">
        <v>15</v>
      </c>
      <c r="E25" s="15">
        <v>19320</v>
      </c>
      <c r="F25" s="18"/>
      <c r="G25" s="18"/>
      <c r="H25" s="18"/>
    </row>
    <row r="26" spans="1:40" s="24" customFormat="1" ht="35.25" customHeight="1" x14ac:dyDescent="0.25">
      <c r="A26" s="128"/>
      <c r="B26" s="6" t="s">
        <v>3057</v>
      </c>
      <c r="C26" s="6" t="s">
        <v>2975</v>
      </c>
      <c r="D26" s="114" t="s">
        <v>15</v>
      </c>
      <c r="E26" s="15">
        <v>14490</v>
      </c>
      <c r="F26" s="22"/>
      <c r="G26" s="22"/>
      <c r="H26" s="22"/>
    </row>
    <row r="27" spans="1:40" s="24" customFormat="1" ht="35.25" customHeight="1" x14ac:dyDescent="0.25">
      <c r="A27" s="128">
        <f t="shared" ref="A27" si="0">A25+1</f>
        <v>3</v>
      </c>
      <c r="B27" s="6" t="s">
        <v>3115</v>
      </c>
      <c r="C27" s="6" t="s">
        <v>3116</v>
      </c>
      <c r="D27" s="114" t="s">
        <v>15</v>
      </c>
      <c r="E27" s="15">
        <v>15480</v>
      </c>
      <c r="F27" s="19"/>
      <c r="G27" s="19"/>
      <c r="H27" s="19"/>
    </row>
    <row r="28" spans="1:40" s="24" customFormat="1" ht="35.25" customHeight="1" x14ac:dyDescent="0.25">
      <c r="A28" s="128"/>
      <c r="B28" s="6" t="s">
        <v>3117</v>
      </c>
      <c r="C28" s="6" t="s">
        <v>3116</v>
      </c>
      <c r="D28" s="114" t="s">
        <v>15</v>
      </c>
      <c r="E28" s="15">
        <v>11610</v>
      </c>
      <c r="F28" s="18"/>
      <c r="G28" s="18"/>
      <c r="H28" s="18"/>
    </row>
    <row r="29" spans="1:40" s="24" customFormat="1" ht="35.25" customHeight="1" x14ac:dyDescent="0.25">
      <c r="A29" s="128">
        <f t="shared" ref="A29" si="1">A27+1</f>
        <v>4</v>
      </c>
      <c r="B29" s="6" t="s">
        <v>3024</v>
      </c>
      <c r="C29" s="6" t="s">
        <v>777</v>
      </c>
      <c r="D29" s="114" t="s">
        <v>15</v>
      </c>
      <c r="E29" s="15">
        <v>15480</v>
      </c>
      <c r="F29" s="18"/>
      <c r="G29" s="18"/>
      <c r="H29" s="18"/>
    </row>
    <row r="30" spans="1:40" s="24" customFormat="1" ht="35.25" customHeight="1" x14ac:dyDescent="0.25">
      <c r="A30" s="128"/>
      <c r="B30" s="6" t="s">
        <v>3025</v>
      </c>
      <c r="C30" s="6" t="s">
        <v>777</v>
      </c>
      <c r="D30" s="114" t="s">
        <v>15</v>
      </c>
      <c r="E30" s="15">
        <v>11610</v>
      </c>
      <c r="F30" s="18"/>
      <c r="G30" s="18"/>
      <c r="H30" s="18"/>
    </row>
    <row r="31" spans="1:40" s="24" customFormat="1" ht="34.5" customHeight="1" x14ac:dyDescent="0.25">
      <c r="A31" s="128">
        <f t="shared" ref="A31" si="2">A29+1</f>
        <v>5</v>
      </c>
      <c r="B31" s="6" t="s">
        <v>3123</v>
      </c>
      <c r="C31" s="6" t="s">
        <v>3124</v>
      </c>
      <c r="D31" s="114" t="s">
        <v>15</v>
      </c>
      <c r="E31" s="15">
        <v>15480</v>
      </c>
      <c r="F31" s="18"/>
      <c r="G31" s="18"/>
      <c r="H31" s="18"/>
    </row>
    <row r="32" spans="1:40" s="24" customFormat="1" ht="34.5" customHeight="1" x14ac:dyDescent="0.25">
      <c r="A32" s="128"/>
      <c r="B32" s="6" t="s">
        <v>3125</v>
      </c>
      <c r="C32" s="6" t="s">
        <v>3124</v>
      </c>
      <c r="D32" s="114" t="s">
        <v>15</v>
      </c>
      <c r="E32" s="7">
        <v>11610</v>
      </c>
      <c r="F32" s="18"/>
      <c r="G32" s="18"/>
      <c r="H32" s="18"/>
    </row>
    <row r="33" spans="1:8" s="24" customFormat="1" ht="34.5" customHeight="1" x14ac:dyDescent="0.25">
      <c r="A33" s="128">
        <f t="shared" ref="A33" si="3">A31+1</f>
        <v>6</v>
      </c>
      <c r="B33" s="6" t="s">
        <v>3036</v>
      </c>
      <c r="C33" s="6" t="s">
        <v>3037</v>
      </c>
      <c r="D33" s="114" t="s">
        <v>15</v>
      </c>
      <c r="E33" s="15">
        <v>15480</v>
      </c>
      <c r="F33" s="18"/>
      <c r="G33" s="18"/>
      <c r="H33" s="18"/>
    </row>
    <row r="34" spans="1:8" s="24" customFormat="1" ht="34.5" customHeight="1" x14ac:dyDescent="0.25">
      <c r="A34" s="128"/>
      <c r="B34" s="6" t="s">
        <v>3038</v>
      </c>
      <c r="C34" s="6" t="s">
        <v>3037</v>
      </c>
      <c r="D34" s="114" t="s">
        <v>15</v>
      </c>
      <c r="E34" s="7">
        <v>11610</v>
      </c>
      <c r="F34" s="18"/>
      <c r="G34" s="18"/>
      <c r="H34" s="18"/>
    </row>
    <row r="35" spans="1:8" s="24" customFormat="1" ht="34.5" customHeight="1" x14ac:dyDescent="0.25">
      <c r="A35" s="128">
        <f t="shared" ref="A35" si="4">A33+1</f>
        <v>7</v>
      </c>
      <c r="B35" s="6" t="s">
        <v>3091</v>
      </c>
      <c r="C35" s="6" t="s">
        <v>3092</v>
      </c>
      <c r="D35" s="114" t="s">
        <v>15</v>
      </c>
      <c r="E35" s="15">
        <v>19320</v>
      </c>
      <c r="F35" s="18"/>
      <c r="G35" s="18"/>
      <c r="H35" s="18"/>
    </row>
    <row r="36" spans="1:8" s="24" customFormat="1" ht="34.5" customHeight="1" x14ac:dyDescent="0.25">
      <c r="A36" s="128"/>
      <c r="B36" s="6" t="s">
        <v>3093</v>
      </c>
      <c r="C36" s="6" t="s">
        <v>3092</v>
      </c>
      <c r="D36" s="114" t="s">
        <v>15</v>
      </c>
      <c r="E36" s="7">
        <v>14490</v>
      </c>
      <c r="F36" s="18"/>
      <c r="G36" s="18"/>
      <c r="H36" s="18"/>
    </row>
    <row r="37" spans="1:8" s="24" customFormat="1" ht="33.75" customHeight="1" x14ac:dyDescent="0.25">
      <c r="A37" s="128">
        <f t="shared" ref="A37" si="5">A35+1</f>
        <v>8</v>
      </c>
      <c r="B37" s="6" t="s">
        <v>2985</v>
      </c>
      <c r="C37" s="6" t="s">
        <v>84</v>
      </c>
      <c r="D37" s="114" t="s">
        <v>15</v>
      </c>
      <c r="E37" s="15">
        <v>15480</v>
      </c>
      <c r="F37" s="18"/>
      <c r="G37" s="18"/>
      <c r="H37" s="18"/>
    </row>
    <row r="38" spans="1:8" s="24" customFormat="1" ht="33.75" customHeight="1" x14ac:dyDescent="0.25">
      <c r="A38" s="128"/>
      <c r="B38" s="6" t="s">
        <v>2986</v>
      </c>
      <c r="C38" s="6" t="s">
        <v>84</v>
      </c>
      <c r="D38" s="114" t="s">
        <v>15</v>
      </c>
      <c r="E38" s="7">
        <v>11610</v>
      </c>
      <c r="F38" s="18"/>
      <c r="G38" s="18"/>
      <c r="H38" s="18"/>
    </row>
    <row r="39" spans="1:8" s="24" customFormat="1" ht="33.75" customHeight="1" x14ac:dyDescent="0.25">
      <c r="A39" s="128">
        <f t="shared" ref="A39" si="6">A37+1</f>
        <v>9</v>
      </c>
      <c r="B39" s="6" t="s">
        <v>2997</v>
      </c>
      <c r="C39" s="6" t="s">
        <v>14</v>
      </c>
      <c r="D39" s="114" t="s">
        <v>15</v>
      </c>
      <c r="E39" s="15">
        <v>15480</v>
      </c>
      <c r="F39" s="18"/>
      <c r="G39" s="18"/>
      <c r="H39" s="18"/>
    </row>
    <row r="40" spans="1:8" s="24" customFormat="1" ht="33.75" customHeight="1" x14ac:dyDescent="0.25">
      <c r="A40" s="128"/>
      <c r="B40" s="6" t="s">
        <v>2998</v>
      </c>
      <c r="C40" s="6" t="s">
        <v>14</v>
      </c>
      <c r="D40" s="114" t="s">
        <v>15</v>
      </c>
      <c r="E40" s="7">
        <v>11610</v>
      </c>
      <c r="F40" s="18"/>
      <c r="G40" s="18"/>
      <c r="H40" s="18"/>
    </row>
    <row r="41" spans="1:8" s="24" customFormat="1" ht="33.75" customHeight="1" x14ac:dyDescent="0.25">
      <c r="A41" s="128">
        <f t="shared" ref="A41" si="7">A39+1</f>
        <v>10</v>
      </c>
      <c r="B41" s="6" t="s">
        <v>3012</v>
      </c>
      <c r="C41" s="6" t="s">
        <v>3007</v>
      </c>
      <c r="D41" s="114" t="s">
        <v>15</v>
      </c>
      <c r="E41" s="15">
        <v>25680</v>
      </c>
      <c r="F41" s="18"/>
      <c r="G41" s="18"/>
      <c r="H41" s="18"/>
    </row>
    <row r="42" spans="1:8" s="24" customFormat="1" ht="33.75" customHeight="1" x14ac:dyDescent="0.25">
      <c r="A42" s="128"/>
      <c r="B42" s="6" t="s">
        <v>3013</v>
      </c>
      <c r="C42" s="6" t="s">
        <v>3007</v>
      </c>
      <c r="D42" s="114" t="s">
        <v>15</v>
      </c>
      <c r="E42" s="7">
        <v>19260</v>
      </c>
      <c r="F42" s="18"/>
      <c r="G42" s="18"/>
      <c r="H42" s="18"/>
    </row>
    <row r="43" spans="1:8" s="24" customFormat="1" ht="31.5" x14ac:dyDescent="0.25">
      <c r="A43" s="128">
        <f t="shared" ref="A43" si="8">A41+1</f>
        <v>11</v>
      </c>
      <c r="B43" s="6" t="s">
        <v>3046</v>
      </c>
      <c r="C43" s="6" t="s">
        <v>84</v>
      </c>
      <c r="D43" s="114" t="s">
        <v>15</v>
      </c>
      <c r="E43" s="15">
        <v>15480</v>
      </c>
      <c r="F43" s="22"/>
      <c r="G43" s="22"/>
      <c r="H43" s="22"/>
    </row>
    <row r="44" spans="1:8" s="24" customFormat="1" ht="31.5" x14ac:dyDescent="0.25">
      <c r="A44" s="128"/>
      <c r="B44" s="6" t="s">
        <v>3047</v>
      </c>
      <c r="C44" s="6" t="s">
        <v>84</v>
      </c>
      <c r="D44" s="114" t="s">
        <v>15</v>
      </c>
      <c r="E44" s="7">
        <v>11610</v>
      </c>
      <c r="F44" s="19"/>
      <c r="G44" s="19"/>
      <c r="H44" s="19"/>
    </row>
    <row r="45" spans="1:8" s="24" customFormat="1" ht="35.25" customHeight="1" x14ac:dyDescent="0.25">
      <c r="A45" s="128">
        <f t="shared" ref="A45:A107" si="9">A43+1</f>
        <v>12</v>
      </c>
      <c r="B45" s="6" t="s">
        <v>3147</v>
      </c>
      <c r="C45" s="6" t="s">
        <v>3148</v>
      </c>
      <c r="D45" s="114" t="s">
        <v>15</v>
      </c>
      <c r="E45" s="15">
        <v>25680</v>
      </c>
      <c r="F45" s="18"/>
      <c r="G45" s="18"/>
      <c r="H45" s="18"/>
    </row>
    <row r="46" spans="1:8" s="24" customFormat="1" ht="35.25" customHeight="1" x14ac:dyDescent="0.25">
      <c r="A46" s="128"/>
      <c r="B46" s="6" t="s">
        <v>3149</v>
      </c>
      <c r="C46" s="6" t="s">
        <v>3150</v>
      </c>
      <c r="D46" s="114" t="s">
        <v>15</v>
      </c>
      <c r="E46" s="7">
        <v>19260</v>
      </c>
      <c r="F46" s="22"/>
      <c r="G46" s="22"/>
      <c r="H46" s="22"/>
    </row>
    <row r="47" spans="1:8" s="24" customFormat="1" ht="35.25" customHeight="1" x14ac:dyDescent="0.25">
      <c r="A47" s="128">
        <f t="shared" si="9"/>
        <v>13</v>
      </c>
      <c r="B47" s="6" t="s">
        <v>3048</v>
      </c>
      <c r="C47" s="6" t="s">
        <v>84</v>
      </c>
      <c r="D47" s="114" t="s">
        <v>15</v>
      </c>
      <c r="E47" s="15">
        <v>19320</v>
      </c>
      <c r="F47" s="22"/>
      <c r="G47" s="22"/>
      <c r="H47" s="22"/>
    </row>
    <row r="48" spans="1:8" s="24" customFormat="1" ht="35.25" customHeight="1" x14ac:dyDescent="0.25">
      <c r="A48" s="128"/>
      <c r="B48" s="6" t="s">
        <v>3049</v>
      </c>
      <c r="C48" s="6" t="s">
        <v>84</v>
      </c>
      <c r="D48" s="114" t="s">
        <v>15</v>
      </c>
      <c r="E48" s="7">
        <v>14490</v>
      </c>
      <c r="F48" s="19"/>
      <c r="G48" s="19"/>
      <c r="H48" s="19"/>
    </row>
    <row r="49" spans="1:8" s="24" customFormat="1" ht="35.25" customHeight="1" x14ac:dyDescent="0.25">
      <c r="A49" s="128">
        <f t="shared" si="9"/>
        <v>14</v>
      </c>
      <c r="B49" s="6" t="s">
        <v>3099</v>
      </c>
      <c r="C49" s="6" t="s">
        <v>3100</v>
      </c>
      <c r="D49" s="114" t="s">
        <v>15</v>
      </c>
      <c r="E49" s="15">
        <v>19320</v>
      </c>
      <c r="F49" s="18"/>
      <c r="G49" s="18"/>
      <c r="H49" s="18"/>
    </row>
    <row r="50" spans="1:8" s="24" customFormat="1" ht="35.25" customHeight="1" x14ac:dyDescent="0.25">
      <c r="A50" s="128"/>
      <c r="B50" s="6" t="s">
        <v>3101</v>
      </c>
      <c r="C50" s="6" t="s">
        <v>3100</v>
      </c>
      <c r="D50" s="114" t="s">
        <v>15</v>
      </c>
      <c r="E50" s="7">
        <v>14490</v>
      </c>
      <c r="F50" s="22"/>
      <c r="G50" s="22"/>
      <c r="H50" s="22"/>
    </row>
    <row r="51" spans="1:8" s="24" customFormat="1" ht="35.25" customHeight="1" x14ac:dyDescent="0.25">
      <c r="A51" s="128">
        <f t="shared" si="9"/>
        <v>15</v>
      </c>
      <c r="B51" s="6" t="s">
        <v>2970</v>
      </c>
      <c r="C51" s="6" t="s">
        <v>116</v>
      </c>
      <c r="D51" s="114" t="s">
        <v>15</v>
      </c>
      <c r="E51" s="15">
        <v>25680</v>
      </c>
      <c r="F51" s="19"/>
      <c r="G51" s="19"/>
      <c r="H51" s="19"/>
    </row>
    <row r="52" spans="1:8" s="24" customFormat="1" ht="35.25" customHeight="1" x14ac:dyDescent="0.25">
      <c r="A52" s="128"/>
      <c r="B52" s="6" t="s">
        <v>2971</v>
      </c>
      <c r="C52" s="6" t="s">
        <v>116</v>
      </c>
      <c r="D52" s="114" t="s">
        <v>15</v>
      </c>
      <c r="E52" s="7">
        <v>19260</v>
      </c>
      <c r="F52" s="18"/>
      <c r="G52" s="18"/>
      <c r="H52" s="18"/>
    </row>
    <row r="53" spans="1:8" s="24" customFormat="1" ht="31.5" x14ac:dyDescent="0.25">
      <c r="A53" s="128">
        <f t="shared" si="9"/>
        <v>16</v>
      </c>
      <c r="B53" s="6" t="s">
        <v>2972</v>
      </c>
      <c r="C53" s="6" t="s">
        <v>54</v>
      </c>
      <c r="D53" s="114" t="s">
        <v>15</v>
      </c>
      <c r="E53" s="15">
        <v>25680</v>
      </c>
      <c r="F53" s="22"/>
      <c r="G53" s="22"/>
      <c r="H53" s="22"/>
    </row>
    <row r="54" spans="1:8" s="24" customFormat="1" ht="31.5" x14ac:dyDescent="0.25">
      <c r="A54" s="128"/>
      <c r="B54" s="6" t="s">
        <v>2973</v>
      </c>
      <c r="C54" s="6" t="s">
        <v>54</v>
      </c>
      <c r="D54" s="114" t="s">
        <v>15</v>
      </c>
      <c r="E54" s="7">
        <v>19260</v>
      </c>
      <c r="F54" s="19"/>
      <c r="G54" s="19"/>
      <c r="H54" s="19"/>
    </row>
    <row r="55" spans="1:8" s="24" customFormat="1" ht="37.5" customHeight="1" x14ac:dyDescent="0.25">
      <c r="A55" s="128">
        <f t="shared" si="9"/>
        <v>17</v>
      </c>
      <c r="B55" s="6" t="s">
        <v>3120</v>
      </c>
      <c r="C55" s="6" t="s">
        <v>3121</v>
      </c>
      <c r="D55" s="114" t="s">
        <v>15</v>
      </c>
      <c r="E55" s="15">
        <v>15480</v>
      </c>
      <c r="F55" s="18"/>
      <c r="G55" s="18"/>
      <c r="H55" s="18"/>
    </row>
    <row r="56" spans="1:8" s="24" customFormat="1" ht="37.5" customHeight="1" x14ac:dyDescent="0.25">
      <c r="A56" s="128"/>
      <c r="B56" s="6" t="s">
        <v>3122</v>
      </c>
      <c r="C56" s="6" t="s">
        <v>3121</v>
      </c>
      <c r="D56" s="114" t="s">
        <v>15</v>
      </c>
      <c r="E56" s="15">
        <v>11610</v>
      </c>
      <c r="F56" s="22"/>
      <c r="G56" s="22"/>
      <c r="H56" s="22"/>
    </row>
    <row r="57" spans="1:8" s="24" customFormat="1" ht="31.5" x14ac:dyDescent="0.25">
      <c r="A57" s="128">
        <f t="shared" si="9"/>
        <v>18</v>
      </c>
      <c r="B57" s="6" t="s">
        <v>3126</v>
      </c>
      <c r="C57" s="6" t="s">
        <v>3127</v>
      </c>
      <c r="D57" s="114" t="s">
        <v>15</v>
      </c>
      <c r="E57" s="15">
        <v>25680</v>
      </c>
      <c r="F57" s="19"/>
      <c r="G57" s="19"/>
      <c r="H57" s="19"/>
    </row>
    <row r="58" spans="1:8" s="24" customFormat="1" ht="31.5" x14ac:dyDescent="0.25">
      <c r="A58" s="128"/>
      <c r="B58" s="6" t="s">
        <v>3126</v>
      </c>
      <c r="C58" s="6" t="s">
        <v>3127</v>
      </c>
      <c r="D58" s="114" t="s">
        <v>15</v>
      </c>
      <c r="E58" s="7">
        <v>19260</v>
      </c>
      <c r="F58" s="18"/>
      <c r="G58" s="18"/>
      <c r="H58" s="18"/>
    </row>
    <row r="59" spans="1:8" s="24" customFormat="1" ht="39" customHeight="1" x14ac:dyDescent="0.25">
      <c r="A59" s="128">
        <f t="shared" si="9"/>
        <v>19</v>
      </c>
      <c r="B59" s="6" t="s">
        <v>3001</v>
      </c>
      <c r="C59" s="6" t="s">
        <v>3002</v>
      </c>
      <c r="D59" s="114" t="s">
        <v>15</v>
      </c>
      <c r="E59" s="15">
        <v>15480</v>
      </c>
      <c r="F59" s="22"/>
      <c r="G59" s="22"/>
      <c r="H59" s="22"/>
    </row>
    <row r="60" spans="1:8" s="24" customFormat="1" ht="39" customHeight="1" x14ac:dyDescent="0.25">
      <c r="A60" s="128"/>
      <c r="B60" s="6" t="s">
        <v>3003</v>
      </c>
      <c r="C60" s="6" t="s">
        <v>3002</v>
      </c>
      <c r="D60" s="114" t="s">
        <v>15</v>
      </c>
      <c r="E60" s="7">
        <v>11610</v>
      </c>
      <c r="F60" s="19"/>
      <c r="G60" s="19"/>
      <c r="H60" s="19"/>
    </row>
    <row r="61" spans="1:8" s="24" customFormat="1" ht="31.5" x14ac:dyDescent="0.25">
      <c r="A61" s="128">
        <f t="shared" si="9"/>
        <v>20</v>
      </c>
      <c r="B61" s="6" t="s">
        <v>3022</v>
      </c>
      <c r="C61" s="6" t="s">
        <v>2988</v>
      </c>
      <c r="D61" s="114" t="s">
        <v>15</v>
      </c>
      <c r="E61" s="15">
        <v>25680</v>
      </c>
      <c r="F61" s="19"/>
      <c r="G61" s="19"/>
      <c r="H61" s="19"/>
    </row>
    <row r="62" spans="1:8" s="24" customFormat="1" ht="31.5" x14ac:dyDescent="0.25">
      <c r="A62" s="128"/>
      <c r="B62" s="6" t="s">
        <v>3023</v>
      </c>
      <c r="C62" s="6" t="s">
        <v>2988</v>
      </c>
      <c r="D62" s="114" t="s">
        <v>15</v>
      </c>
      <c r="E62" s="7">
        <v>19260</v>
      </c>
      <c r="F62" s="18"/>
      <c r="G62" s="18"/>
      <c r="H62" s="18"/>
    </row>
    <row r="63" spans="1:8" s="24" customFormat="1" ht="42.75" customHeight="1" x14ac:dyDescent="0.25">
      <c r="A63" s="128">
        <f t="shared" si="9"/>
        <v>21</v>
      </c>
      <c r="B63" s="6" t="s">
        <v>3104</v>
      </c>
      <c r="C63" s="6" t="s">
        <v>3105</v>
      </c>
      <c r="D63" s="114" t="s">
        <v>15</v>
      </c>
      <c r="E63" s="15">
        <v>19320</v>
      </c>
      <c r="F63" s="22"/>
      <c r="G63" s="22"/>
      <c r="H63" s="22"/>
    </row>
    <row r="64" spans="1:8" s="24" customFormat="1" ht="42.75" customHeight="1" x14ac:dyDescent="0.25">
      <c r="A64" s="128"/>
      <c r="B64" s="6" t="s">
        <v>3106</v>
      </c>
      <c r="C64" s="6" t="s">
        <v>3105</v>
      </c>
      <c r="D64" s="114" t="s">
        <v>15</v>
      </c>
      <c r="E64" s="7">
        <v>14490</v>
      </c>
      <c r="F64" s="19"/>
      <c r="G64" s="19"/>
      <c r="H64" s="19"/>
    </row>
    <row r="65" spans="1:8" s="24" customFormat="1" ht="40.5" customHeight="1" x14ac:dyDescent="0.25">
      <c r="A65" s="128">
        <f t="shared" si="9"/>
        <v>22</v>
      </c>
      <c r="B65" s="6" t="s">
        <v>3094</v>
      </c>
      <c r="C65" s="6" t="s">
        <v>3042</v>
      </c>
      <c r="D65" s="114" t="s">
        <v>15</v>
      </c>
      <c r="E65" s="15">
        <v>15480</v>
      </c>
      <c r="F65" s="18"/>
      <c r="G65" s="18"/>
      <c r="H65" s="18"/>
    </row>
    <row r="66" spans="1:8" s="24" customFormat="1" ht="40.5" customHeight="1" x14ac:dyDescent="0.25">
      <c r="A66" s="128"/>
      <c r="B66" s="6" t="s">
        <v>3095</v>
      </c>
      <c r="C66" s="6" t="s">
        <v>3042</v>
      </c>
      <c r="D66" s="114" t="s">
        <v>15</v>
      </c>
      <c r="E66" s="7">
        <v>11610</v>
      </c>
      <c r="F66" s="22"/>
      <c r="G66" s="22"/>
      <c r="H66" s="22"/>
    </row>
    <row r="67" spans="1:8" s="24" customFormat="1" ht="31.5" x14ac:dyDescent="0.25">
      <c r="A67" s="128">
        <f t="shared" si="9"/>
        <v>23</v>
      </c>
      <c r="B67" s="6" t="s">
        <v>2987</v>
      </c>
      <c r="C67" s="6" t="s">
        <v>2988</v>
      </c>
      <c r="D67" s="114" t="s">
        <v>15</v>
      </c>
      <c r="E67" s="15">
        <v>15480</v>
      </c>
      <c r="F67" s="19"/>
      <c r="G67" s="19"/>
      <c r="H67" s="19"/>
    </row>
    <row r="68" spans="1:8" s="24" customFormat="1" ht="31.5" x14ac:dyDescent="0.25">
      <c r="A68" s="128"/>
      <c r="B68" s="6" t="s">
        <v>2989</v>
      </c>
      <c r="C68" s="6" t="s">
        <v>2988</v>
      </c>
      <c r="D68" s="114" t="s">
        <v>15</v>
      </c>
      <c r="E68" s="7">
        <v>11610</v>
      </c>
      <c r="F68" s="18"/>
      <c r="G68" s="18"/>
      <c r="H68" s="18"/>
    </row>
    <row r="69" spans="1:8" s="24" customFormat="1" ht="31.5" x14ac:dyDescent="0.25">
      <c r="A69" s="128">
        <f t="shared" si="9"/>
        <v>24</v>
      </c>
      <c r="B69" s="6" t="s">
        <v>2990</v>
      </c>
      <c r="C69" s="6" t="s">
        <v>2991</v>
      </c>
      <c r="D69" s="114" t="s">
        <v>15</v>
      </c>
      <c r="E69" s="115">
        <v>19320</v>
      </c>
    </row>
    <row r="70" spans="1:8" s="24" customFormat="1" ht="31.5" x14ac:dyDescent="0.25">
      <c r="A70" s="128"/>
      <c r="B70" s="6" t="s">
        <v>2992</v>
      </c>
      <c r="C70" s="6" t="s">
        <v>2991</v>
      </c>
      <c r="D70" s="114" t="s">
        <v>15</v>
      </c>
      <c r="E70" s="7">
        <v>14490</v>
      </c>
    </row>
    <row r="71" spans="1:8" s="24" customFormat="1" ht="31.5" x14ac:dyDescent="0.25">
      <c r="A71" s="128">
        <f t="shared" si="9"/>
        <v>25</v>
      </c>
      <c r="B71" s="6" t="s">
        <v>3028</v>
      </c>
      <c r="C71" s="6" t="s">
        <v>3029</v>
      </c>
      <c r="D71" s="114" t="s">
        <v>15</v>
      </c>
      <c r="E71" s="115">
        <v>19320</v>
      </c>
    </row>
    <row r="72" spans="1:8" s="24" customFormat="1" ht="31.5" x14ac:dyDescent="0.25">
      <c r="A72" s="128"/>
      <c r="B72" s="6" t="s">
        <v>3030</v>
      </c>
      <c r="C72" s="6" t="s">
        <v>3029</v>
      </c>
      <c r="D72" s="114" t="s">
        <v>15</v>
      </c>
      <c r="E72" s="7">
        <v>14490</v>
      </c>
    </row>
    <row r="73" spans="1:8" s="24" customFormat="1" ht="45" customHeight="1" x14ac:dyDescent="0.25">
      <c r="A73" s="128">
        <f t="shared" si="9"/>
        <v>26</v>
      </c>
      <c r="B73" s="6" t="s">
        <v>3070</v>
      </c>
      <c r="C73" s="6" t="s">
        <v>3037</v>
      </c>
      <c r="D73" s="114" t="s">
        <v>15</v>
      </c>
      <c r="E73" s="115">
        <v>15480</v>
      </c>
    </row>
    <row r="74" spans="1:8" s="24" customFormat="1" ht="45" customHeight="1" x14ac:dyDescent="0.25">
      <c r="A74" s="128"/>
      <c r="B74" s="6" t="s">
        <v>3071</v>
      </c>
      <c r="C74" s="6" t="s">
        <v>3037</v>
      </c>
      <c r="D74" s="114" t="s">
        <v>15</v>
      </c>
      <c r="E74" s="7">
        <v>11610</v>
      </c>
    </row>
    <row r="75" spans="1:8" s="24" customFormat="1" ht="40.5" customHeight="1" x14ac:dyDescent="0.25">
      <c r="A75" s="128">
        <f t="shared" si="9"/>
        <v>27</v>
      </c>
      <c r="B75" s="6" t="s">
        <v>3130</v>
      </c>
      <c r="C75" s="6" t="s">
        <v>3092</v>
      </c>
      <c r="D75" s="114" t="s">
        <v>15</v>
      </c>
      <c r="E75" s="115">
        <v>19320</v>
      </c>
    </row>
    <row r="76" spans="1:8" s="24" customFormat="1" ht="40.5" customHeight="1" x14ac:dyDescent="0.25">
      <c r="A76" s="128"/>
      <c r="B76" s="6" t="s">
        <v>3131</v>
      </c>
      <c r="C76" s="6" t="s">
        <v>3092</v>
      </c>
      <c r="D76" s="114" t="s">
        <v>15</v>
      </c>
      <c r="E76" s="7">
        <v>14490</v>
      </c>
    </row>
    <row r="77" spans="1:8" s="24" customFormat="1" ht="38.25" customHeight="1" x14ac:dyDescent="0.25">
      <c r="A77" s="128">
        <f t="shared" si="9"/>
        <v>28</v>
      </c>
      <c r="B77" s="6" t="s">
        <v>3112</v>
      </c>
      <c r="C77" s="6" t="s">
        <v>3113</v>
      </c>
      <c r="D77" s="114" t="s">
        <v>15</v>
      </c>
      <c r="E77" s="115">
        <v>19320</v>
      </c>
    </row>
    <row r="78" spans="1:8" s="24" customFormat="1" ht="38.25" customHeight="1" x14ac:dyDescent="0.25">
      <c r="A78" s="128"/>
      <c r="B78" s="6" t="s">
        <v>3114</v>
      </c>
      <c r="C78" s="6" t="s">
        <v>3113</v>
      </c>
      <c r="D78" s="114" t="s">
        <v>15</v>
      </c>
      <c r="E78" s="7">
        <v>14490</v>
      </c>
    </row>
    <row r="79" spans="1:8" s="24" customFormat="1" ht="45" customHeight="1" x14ac:dyDescent="0.25">
      <c r="A79" s="128">
        <f t="shared" si="9"/>
        <v>29</v>
      </c>
      <c r="B79" s="6" t="s">
        <v>3107</v>
      </c>
      <c r="C79" s="6" t="s">
        <v>3042</v>
      </c>
      <c r="D79" s="114" t="s">
        <v>15</v>
      </c>
      <c r="E79" s="115">
        <v>19320</v>
      </c>
    </row>
    <row r="80" spans="1:8" s="24" customFormat="1" ht="45" customHeight="1" x14ac:dyDescent="0.25">
      <c r="A80" s="128"/>
      <c r="B80" s="6" t="s">
        <v>3108</v>
      </c>
      <c r="C80" s="6" t="s">
        <v>3042</v>
      </c>
      <c r="D80" s="114" t="s">
        <v>15</v>
      </c>
      <c r="E80" s="7">
        <v>14490</v>
      </c>
    </row>
    <row r="81" spans="1:5" s="24" customFormat="1" ht="39" customHeight="1" x14ac:dyDescent="0.25">
      <c r="A81" s="128">
        <f t="shared" si="9"/>
        <v>30</v>
      </c>
      <c r="B81" s="6" t="s">
        <v>2982</v>
      </c>
      <c r="C81" s="6" t="s">
        <v>180</v>
      </c>
      <c r="D81" s="114" t="s">
        <v>15</v>
      </c>
      <c r="E81" s="115">
        <v>25680</v>
      </c>
    </row>
    <row r="82" spans="1:5" s="24" customFormat="1" ht="39" customHeight="1" x14ac:dyDescent="0.25">
      <c r="A82" s="128"/>
      <c r="B82" s="6" t="s">
        <v>2983</v>
      </c>
      <c r="C82" s="6" t="s">
        <v>180</v>
      </c>
      <c r="D82" s="114" t="s">
        <v>15</v>
      </c>
      <c r="E82" s="7">
        <v>19260</v>
      </c>
    </row>
    <row r="83" spans="1:5" s="24" customFormat="1" ht="30.75" customHeight="1" x14ac:dyDescent="0.25">
      <c r="A83" s="128">
        <f t="shared" si="9"/>
        <v>31</v>
      </c>
      <c r="B83" s="6" t="s">
        <v>3014</v>
      </c>
      <c r="C83" s="6" t="s">
        <v>3002</v>
      </c>
      <c r="D83" s="114" t="s">
        <v>15</v>
      </c>
      <c r="E83" s="115">
        <v>19320</v>
      </c>
    </row>
    <row r="84" spans="1:5" s="24" customFormat="1" ht="30.75" customHeight="1" x14ac:dyDescent="0.25">
      <c r="A84" s="128"/>
      <c r="B84" s="6" t="s">
        <v>3015</v>
      </c>
      <c r="C84" s="6" t="s">
        <v>3002</v>
      </c>
      <c r="D84" s="114" t="s">
        <v>15</v>
      </c>
      <c r="E84" s="7">
        <v>14490</v>
      </c>
    </row>
    <row r="85" spans="1:5" s="24" customFormat="1" ht="31.5" x14ac:dyDescent="0.25">
      <c r="A85" s="128">
        <f t="shared" si="9"/>
        <v>32</v>
      </c>
      <c r="B85" s="6" t="s">
        <v>3096</v>
      </c>
      <c r="C85" s="6" t="s">
        <v>3097</v>
      </c>
      <c r="D85" s="114" t="s">
        <v>15</v>
      </c>
      <c r="E85" s="115">
        <v>12840</v>
      </c>
    </row>
    <row r="86" spans="1:5" s="24" customFormat="1" ht="31.5" x14ac:dyDescent="0.25">
      <c r="A86" s="128"/>
      <c r="B86" s="6" t="s">
        <v>3098</v>
      </c>
      <c r="C86" s="6" t="s">
        <v>3097</v>
      </c>
      <c r="D86" s="114" t="s">
        <v>15</v>
      </c>
      <c r="E86" s="7">
        <v>9630</v>
      </c>
    </row>
    <row r="87" spans="1:5" s="24" customFormat="1" ht="35.25" customHeight="1" x14ac:dyDescent="0.25">
      <c r="A87" s="128">
        <f t="shared" si="9"/>
        <v>33</v>
      </c>
      <c r="B87" s="6" t="s">
        <v>2966</v>
      </c>
      <c r="C87" s="6" t="s">
        <v>180</v>
      </c>
      <c r="D87" s="114" t="s">
        <v>15</v>
      </c>
      <c r="E87" s="115">
        <v>25680</v>
      </c>
    </row>
    <row r="88" spans="1:5" s="24" customFormat="1" ht="35.25" customHeight="1" x14ac:dyDescent="0.25">
      <c r="A88" s="128"/>
      <c r="B88" s="6" t="s">
        <v>2967</v>
      </c>
      <c r="C88" s="6" t="s">
        <v>180</v>
      </c>
      <c r="D88" s="114" t="s">
        <v>15</v>
      </c>
      <c r="E88" s="7">
        <v>19260</v>
      </c>
    </row>
    <row r="89" spans="1:5" s="24" customFormat="1" ht="31.5" x14ac:dyDescent="0.25">
      <c r="A89" s="128">
        <f t="shared" si="9"/>
        <v>34</v>
      </c>
      <c r="B89" s="6" t="s">
        <v>2976</v>
      </c>
      <c r="C89" s="6" t="s">
        <v>2977</v>
      </c>
      <c r="D89" s="114" t="s">
        <v>15</v>
      </c>
      <c r="E89" s="115">
        <v>32160</v>
      </c>
    </row>
    <row r="90" spans="1:5" s="24" customFormat="1" ht="31.5" x14ac:dyDescent="0.25">
      <c r="A90" s="128"/>
      <c r="B90" s="6" t="s">
        <v>2978</v>
      </c>
      <c r="C90" s="6" t="s">
        <v>2979</v>
      </c>
      <c r="D90" s="114" t="s">
        <v>15</v>
      </c>
      <c r="E90" s="7">
        <v>24120</v>
      </c>
    </row>
    <row r="91" spans="1:5" s="24" customFormat="1" ht="35.25" customHeight="1" x14ac:dyDescent="0.25">
      <c r="A91" s="128">
        <f t="shared" si="9"/>
        <v>35</v>
      </c>
      <c r="B91" s="6" t="s">
        <v>3039</v>
      </c>
      <c r="C91" s="114" t="s">
        <v>54</v>
      </c>
      <c r="D91" s="114" t="s">
        <v>15</v>
      </c>
      <c r="E91" s="115">
        <v>32160</v>
      </c>
    </row>
    <row r="92" spans="1:5" s="24" customFormat="1" ht="35.25" customHeight="1" x14ac:dyDescent="0.25">
      <c r="A92" s="128"/>
      <c r="B92" s="6" t="s">
        <v>3040</v>
      </c>
      <c r="C92" s="6" t="s">
        <v>54</v>
      </c>
      <c r="D92" s="114" t="s">
        <v>15</v>
      </c>
      <c r="E92" s="7">
        <v>24120</v>
      </c>
    </row>
    <row r="93" spans="1:5" s="24" customFormat="1" ht="31.5" x14ac:dyDescent="0.25">
      <c r="A93" s="128">
        <f t="shared" si="9"/>
        <v>36</v>
      </c>
      <c r="B93" s="6" t="s">
        <v>3026</v>
      </c>
      <c r="C93" s="6" t="s">
        <v>349</v>
      </c>
      <c r="D93" s="114" t="s">
        <v>15</v>
      </c>
      <c r="E93" s="115">
        <v>15480</v>
      </c>
    </row>
    <row r="94" spans="1:5" s="24" customFormat="1" ht="31.5" x14ac:dyDescent="0.25">
      <c r="A94" s="128"/>
      <c r="B94" s="6" t="s">
        <v>3027</v>
      </c>
      <c r="C94" s="6" t="s">
        <v>349</v>
      </c>
      <c r="D94" s="114" t="s">
        <v>15</v>
      </c>
      <c r="E94" s="7">
        <v>11610</v>
      </c>
    </row>
    <row r="95" spans="1:5" s="24" customFormat="1" ht="31.5" x14ac:dyDescent="0.25">
      <c r="A95" s="128">
        <f t="shared" si="9"/>
        <v>37</v>
      </c>
      <c r="B95" s="6" t="s">
        <v>2974</v>
      </c>
      <c r="C95" s="6" t="s">
        <v>2975</v>
      </c>
      <c r="D95" s="114" t="s">
        <v>15</v>
      </c>
      <c r="E95" s="115">
        <v>25680</v>
      </c>
    </row>
    <row r="96" spans="1:5" s="24" customFormat="1" ht="31.5" x14ac:dyDescent="0.25">
      <c r="A96" s="128"/>
      <c r="B96" s="6" t="s">
        <v>3056</v>
      </c>
      <c r="C96" s="6" t="s">
        <v>2975</v>
      </c>
      <c r="D96" s="114" t="s">
        <v>15</v>
      </c>
      <c r="E96" s="7">
        <v>19260</v>
      </c>
    </row>
    <row r="97" spans="1:5" s="24" customFormat="1" ht="31.5" x14ac:dyDescent="0.25">
      <c r="A97" s="128">
        <f t="shared" si="9"/>
        <v>38</v>
      </c>
      <c r="B97" s="6" t="s">
        <v>2980</v>
      </c>
      <c r="C97" s="6" t="s">
        <v>2977</v>
      </c>
      <c r="D97" s="114" t="s">
        <v>15</v>
      </c>
      <c r="E97" s="115">
        <v>25680</v>
      </c>
    </row>
    <row r="98" spans="1:5" s="24" customFormat="1" ht="31.5" x14ac:dyDescent="0.25">
      <c r="A98" s="128"/>
      <c r="B98" s="6" t="s">
        <v>2981</v>
      </c>
      <c r="C98" s="6" t="s">
        <v>2979</v>
      </c>
      <c r="D98" s="114" t="s">
        <v>15</v>
      </c>
      <c r="E98" s="115">
        <v>19260</v>
      </c>
    </row>
    <row r="99" spans="1:5" s="24" customFormat="1" ht="31.5" x14ac:dyDescent="0.25">
      <c r="A99" s="128">
        <f t="shared" si="9"/>
        <v>39</v>
      </c>
      <c r="B99" s="6" t="s">
        <v>3004</v>
      </c>
      <c r="C99" s="6" t="s">
        <v>14</v>
      </c>
      <c r="D99" s="114" t="s">
        <v>15</v>
      </c>
      <c r="E99" s="115">
        <v>15480</v>
      </c>
    </row>
    <row r="100" spans="1:5" s="24" customFormat="1" ht="31.5" x14ac:dyDescent="0.25">
      <c r="A100" s="128"/>
      <c r="B100" s="6" t="s">
        <v>3005</v>
      </c>
      <c r="C100" s="6" t="s">
        <v>14</v>
      </c>
      <c r="D100" s="114" t="s">
        <v>15</v>
      </c>
      <c r="E100" s="7">
        <v>11610</v>
      </c>
    </row>
    <row r="101" spans="1:5" s="24" customFormat="1" ht="63" x14ac:dyDescent="0.25">
      <c r="A101" s="128">
        <f t="shared" si="9"/>
        <v>40</v>
      </c>
      <c r="B101" s="6" t="s">
        <v>3043</v>
      </c>
      <c r="C101" s="6" t="s">
        <v>3042</v>
      </c>
      <c r="D101" s="114" t="s">
        <v>15</v>
      </c>
      <c r="E101" s="115">
        <v>19320</v>
      </c>
    </row>
    <row r="102" spans="1:5" s="24" customFormat="1" ht="63" x14ac:dyDescent="0.25">
      <c r="A102" s="128"/>
      <c r="B102" s="6" t="s">
        <v>3063</v>
      </c>
      <c r="C102" s="6" t="s">
        <v>3042</v>
      </c>
      <c r="D102" s="114" t="s">
        <v>15</v>
      </c>
      <c r="E102" s="7">
        <v>14490</v>
      </c>
    </row>
    <row r="103" spans="1:5" s="24" customFormat="1" ht="31.5" x14ac:dyDescent="0.25">
      <c r="A103" s="128">
        <f t="shared" si="9"/>
        <v>41</v>
      </c>
      <c r="B103" s="6" t="s">
        <v>2993</v>
      </c>
      <c r="C103" s="6" t="s">
        <v>110</v>
      </c>
      <c r="D103" s="114" t="s">
        <v>15</v>
      </c>
      <c r="E103" s="115">
        <v>19320</v>
      </c>
    </row>
    <row r="104" spans="1:5" s="24" customFormat="1" ht="31.5" x14ac:dyDescent="0.25">
      <c r="A104" s="128"/>
      <c r="B104" s="6" t="s">
        <v>2994</v>
      </c>
      <c r="C104" s="6" t="s">
        <v>110</v>
      </c>
      <c r="D104" s="114" t="s">
        <v>15</v>
      </c>
      <c r="E104" s="7">
        <v>14490</v>
      </c>
    </row>
    <row r="105" spans="1:5" s="24" customFormat="1" ht="31.5" x14ac:dyDescent="0.25">
      <c r="A105" s="128">
        <f t="shared" si="9"/>
        <v>42</v>
      </c>
      <c r="B105" s="6" t="s">
        <v>3132</v>
      </c>
      <c r="C105" s="6" t="s">
        <v>3133</v>
      </c>
      <c r="D105" s="114" t="s">
        <v>15</v>
      </c>
      <c r="E105" s="115">
        <v>15480</v>
      </c>
    </row>
    <row r="106" spans="1:5" s="24" customFormat="1" ht="31.5" x14ac:dyDescent="0.25">
      <c r="A106" s="128"/>
      <c r="B106" s="6" t="s">
        <v>3134</v>
      </c>
      <c r="C106" s="6" t="s">
        <v>3133</v>
      </c>
      <c r="D106" s="114" t="s">
        <v>15</v>
      </c>
      <c r="E106" s="7">
        <v>11610</v>
      </c>
    </row>
    <row r="107" spans="1:5" s="24" customFormat="1" ht="31.5" x14ac:dyDescent="0.25">
      <c r="A107" s="128">
        <f t="shared" si="9"/>
        <v>43</v>
      </c>
      <c r="B107" s="6" t="s">
        <v>2995</v>
      </c>
      <c r="C107" s="6" t="s">
        <v>14</v>
      </c>
      <c r="D107" s="114" t="s">
        <v>15</v>
      </c>
      <c r="E107" s="115">
        <v>15480</v>
      </c>
    </row>
    <row r="108" spans="1:5" s="24" customFormat="1" ht="31.5" x14ac:dyDescent="0.25">
      <c r="A108" s="128"/>
      <c r="B108" s="6" t="s">
        <v>2996</v>
      </c>
      <c r="C108" s="6" t="s">
        <v>14</v>
      </c>
      <c r="D108" s="114" t="s">
        <v>15</v>
      </c>
      <c r="E108" s="7">
        <v>11610</v>
      </c>
    </row>
    <row r="109" spans="1:5" s="24" customFormat="1" ht="31.5" x14ac:dyDescent="0.25">
      <c r="A109" s="128">
        <f t="shared" ref="A109:A147" si="10">A107+1</f>
        <v>44</v>
      </c>
      <c r="B109" s="6" t="s">
        <v>3016</v>
      </c>
      <c r="C109" s="6" t="s">
        <v>3002</v>
      </c>
      <c r="D109" s="114" t="s">
        <v>15</v>
      </c>
      <c r="E109" s="115">
        <v>19320</v>
      </c>
    </row>
    <row r="110" spans="1:5" s="24" customFormat="1" ht="31.5" x14ac:dyDescent="0.25">
      <c r="A110" s="128"/>
      <c r="B110" s="6" t="s">
        <v>3017</v>
      </c>
      <c r="C110" s="6" t="s">
        <v>3002</v>
      </c>
      <c r="D110" s="114" t="s">
        <v>15</v>
      </c>
      <c r="E110" s="7">
        <v>14490</v>
      </c>
    </row>
    <row r="111" spans="1:5" s="24" customFormat="1" ht="33" customHeight="1" x14ac:dyDescent="0.25">
      <c r="A111" s="128">
        <f t="shared" si="10"/>
        <v>45</v>
      </c>
      <c r="B111" s="6" t="s">
        <v>3018</v>
      </c>
      <c r="C111" s="6" t="s">
        <v>2975</v>
      </c>
      <c r="D111" s="114" t="s">
        <v>15</v>
      </c>
      <c r="E111" s="115">
        <v>19320</v>
      </c>
    </row>
    <row r="112" spans="1:5" ht="33" customHeight="1" x14ac:dyDescent="0.25">
      <c r="A112" s="128"/>
      <c r="B112" s="6" t="s">
        <v>3019</v>
      </c>
      <c r="C112" s="6" t="s">
        <v>2975</v>
      </c>
      <c r="D112" s="114" t="s">
        <v>15</v>
      </c>
      <c r="E112" s="15">
        <v>14490</v>
      </c>
    </row>
    <row r="113" spans="1:5" ht="33" customHeight="1" x14ac:dyDescent="0.25">
      <c r="A113" s="128">
        <f t="shared" si="10"/>
        <v>46</v>
      </c>
      <c r="B113" s="6" t="s">
        <v>3102</v>
      </c>
      <c r="C113" s="6" t="s">
        <v>3100</v>
      </c>
      <c r="D113" s="114" t="s">
        <v>15</v>
      </c>
      <c r="E113" s="15">
        <v>19320</v>
      </c>
    </row>
    <row r="114" spans="1:5" ht="33" customHeight="1" x14ac:dyDescent="0.25">
      <c r="A114" s="128"/>
      <c r="B114" s="6" t="s">
        <v>3103</v>
      </c>
      <c r="C114" s="6" t="s">
        <v>3100</v>
      </c>
      <c r="D114" s="114" t="s">
        <v>15</v>
      </c>
      <c r="E114" s="15">
        <v>14490</v>
      </c>
    </row>
    <row r="115" spans="1:5" ht="33" customHeight="1" x14ac:dyDescent="0.25">
      <c r="A115" s="128">
        <f t="shared" si="10"/>
        <v>47</v>
      </c>
      <c r="B115" s="12" t="s">
        <v>3170</v>
      </c>
      <c r="C115" s="12" t="s">
        <v>3127</v>
      </c>
      <c r="D115" s="13" t="s">
        <v>15</v>
      </c>
      <c r="E115" s="15">
        <v>51360</v>
      </c>
    </row>
    <row r="116" spans="1:5" ht="33" customHeight="1" x14ac:dyDescent="0.25">
      <c r="A116" s="128"/>
      <c r="B116" s="12" t="s">
        <v>3171</v>
      </c>
      <c r="C116" s="12" t="s">
        <v>3172</v>
      </c>
      <c r="D116" s="13" t="s">
        <v>15</v>
      </c>
      <c r="E116" s="15">
        <v>38520</v>
      </c>
    </row>
    <row r="117" spans="1:5" ht="33" customHeight="1" x14ac:dyDescent="0.25">
      <c r="A117" s="128">
        <f t="shared" si="10"/>
        <v>48</v>
      </c>
      <c r="B117" s="6" t="s">
        <v>3058</v>
      </c>
      <c r="C117" s="6" t="s">
        <v>3042</v>
      </c>
      <c r="D117" s="114" t="s">
        <v>15</v>
      </c>
      <c r="E117" s="15">
        <v>19320</v>
      </c>
    </row>
    <row r="118" spans="1:5" ht="33" customHeight="1" x14ac:dyDescent="0.25">
      <c r="A118" s="128"/>
      <c r="B118" s="6" t="s">
        <v>3059</v>
      </c>
      <c r="C118" s="6" t="s">
        <v>3042</v>
      </c>
      <c r="D118" s="114" t="s">
        <v>15</v>
      </c>
      <c r="E118" s="15">
        <v>14490</v>
      </c>
    </row>
    <row r="119" spans="1:5" ht="31.5" x14ac:dyDescent="0.25">
      <c r="A119" s="128">
        <f t="shared" si="10"/>
        <v>49</v>
      </c>
      <c r="B119" s="6" t="s">
        <v>2968</v>
      </c>
      <c r="C119" s="6" t="s">
        <v>72</v>
      </c>
      <c r="D119" s="114" t="s">
        <v>15</v>
      </c>
      <c r="E119" s="15">
        <v>25680</v>
      </c>
    </row>
    <row r="120" spans="1:5" ht="31.5" x14ac:dyDescent="0.25">
      <c r="A120" s="128"/>
      <c r="B120" s="6" t="s">
        <v>2969</v>
      </c>
      <c r="C120" s="6" t="s">
        <v>72</v>
      </c>
      <c r="D120" s="114" t="s">
        <v>15</v>
      </c>
      <c r="E120" s="15">
        <v>19260</v>
      </c>
    </row>
    <row r="121" spans="1:5" ht="31.5" x14ac:dyDescent="0.25">
      <c r="A121" s="128">
        <f t="shared" si="10"/>
        <v>50</v>
      </c>
      <c r="B121" s="6" t="s">
        <v>3145</v>
      </c>
      <c r="C121" s="6" t="s">
        <v>3092</v>
      </c>
      <c r="D121" s="114" t="s">
        <v>15</v>
      </c>
      <c r="E121" s="15">
        <v>25680</v>
      </c>
    </row>
    <row r="122" spans="1:5" ht="31.5" x14ac:dyDescent="0.25">
      <c r="A122" s="128"/>
      <c r="B122" s="6" t="s">
        <v>3146</v>
      </c>
      <c r="C122" s="6" t="s">
        <v>3092</v>
      </c>
      <c r="D122" s="114" t="s">
        <v>15</v>
      </c>
      <c r="E122" s="15">
        <v>19260</v>
      </c>
    </row>
    <row r="123" spans="1:5" ht="31.5" x14ac:dyDescent="0.25">
      <c r="A123" s="128">
        <f t="shared" si="10"/>
        <v>51</v>
      </c>
      <c r="B123" s="6" t="s">
        <v>3222</v>
      </c>
      <c r="C123" s="6" t="s">
        <v>3092</v>
      </c>
      <c r="D123" s="125" t="s">
        <v>15</v>
      </c>
      <c r="E123" s="125">
        <v>25680</v>
      </c>
    </row>
    <row r="124" spans="1:5" ht="31.5" x14ac:dyDescent="0.25">
      <c r="A124" s="128"/>
      <c r="B124" s="6" t="s">
        <v>3223</v>
      </c>
      <c r="C124" s="6" t="s">
        <v>3092</v>
      </c>
      <c r="D124" s="125" t="s">
        <v>15</v>
      </c>
      <c r="E124" s="125">
        <v>19260</v>
      </c>
    </row>
    <row r="125" spans="1:5" ht="31.5" x14ac:dyDescent="0.25">
      <c r="A125" s="128">
        <f t="shared" si="10"/>
        <v>52</v>
      </c>
      <c r="B125" s="6" t="s">
        <v>3031</v>
      </c>
      <c r="C125" s="6" t="s">
        <v>3032</v>
      </c>
      <c r="D125" s="114" t="s">
        <v>15</v>
      </c>
      <c r="E125" s="15">
        <v>25680</v>
      </c>
    </row>
    <row r="126" spans="1:5" ht="31.5" x14ac:dyDescent="0.25">
      <c r="A126" s="128"/>
      <c r="B126" s="6" t="s">
        <v>3033</v>
      </c>
      <c r="C126" s="6" t="s">
        <v>3032</v>
      </c>
      <c r="D126" s="114" t="s">
        <v>15</v>
      </c>
      <c r="E126" s="15">
        <v>19260</v>
      </c>
    </row>
    <row r="127" spans="1:5" ht="47.25" x14ac:dyDescent="0.25">
      <c r="A127" s="128">
        <f t="shared" si="10"/>
        <v>53</v>
      </c>
      <c r="B127" s="6" t="s">
        <v>3034</v>
      </c>
      <c r="C127" s="6" t="s">
        <v>3032</v>
      </c>
      <c r="D127" s="114" t="s">
        <v>15</v>
      </c>
      <c r="E127" s="15">
        <v>36000</v>
      </c>
    </row>
    <row r="128" spans="1:5" ht="47.25" x14ac:dyDescent="0.25">
      <c r="A128" s="128"/>
      <c r="B128" s="6" t="s">
        <v>3035</v>
      </c>
      <c r="C128" s="6" t="s">
        <v>3032</v>
      </c>
      <c r="D128" s="114" t="s">
        <v>15</v>
      </c>
      <c r="E128" s="15">
        <v>27000</v>
      </c>
    </row>
    <row r="129" spans="1:5" ht="66" customHeight="1" x14ac:dyDescent="0.25">
      <c r="A129" s="128">
        <f t="shared" si="10"/>
        <v>54</v>
      </c>
      <c r="B129" s="6" t="s">
        <v>3041</v>
      </c>
      <c r="C129" s="6" t="s">
        <v>3042</v>
      </c>
      <c r="D129" s="114" t="s">
        <v>15</v>
      </c>
      <c r="E129" s="15">
        <v>25680</v>
      </c>
    </row>
    <row r="130" spans="1:5" ht="66" customHeight="1" x14ac:dyDescent="0.25">
      <c r="A130" s="128"/>
      <c r="B130" s="6" t="s">
        <v>3060</v>
      </c>
      <c r="C130" s="6" t="s">
        <v>3042</v>
      </c>
      <c r="D130" s="114" t="s">
        <v>15</v>
      </c>
      <c r="E130" s="15">
        <v>19260</v>
      </c>
    </row>
    <row r="131" spans="1:5" ht="31.5" x14ac:dyDescent="0.25">
      <c r="A131" s="128">
        <f t="shared" si="10"/>
        <v>55</v>
      </c>
      <c r="B131" s="6" t="s">
        <v>3061</v>
      </c>
      <c r="C131" s="6" t="s">
        <v>3010</v>
      </c>
      <c r="D131" s="114" t="s">
        <v>15</v>
      </c>
      <c r="E131" s="15">
        <v>38520</v>
      </c>
    </row>
    <row r="132" spans="1:5" ht="31.5" x14ac:dyDescent="0.25">
      <c r="A132" s="128"/>
      <c r="B132" s="6" t="s">
        <v>3062</v>
      </c>
      <c r="C132" s="6" t="s">
        <v>3010</v>
      </c>
      <c r="D132" s="114" t="s">
        <v>15</v>
      </c>
      <c r="E132" s="15">
        <v>38520</v>
      </c>
    </row>
    <row r="133" spans="1:5" ht="36" customHeight="1" x14ac:dyDescent="0.25">
      <c r="A133" s="128">
        <f t="shared" si="10"/>
        <v>56</v>
      </c>
      <c r="B133" s="6" t="s">
        <v>3044</v>
      </c>
      <c r="C133" s="6" t="s">
        <v>3010</v>
      </c>
      <c r="D133" s="114" t="s">
        <v>15</v>
      </c>
      <c r="E133" s="15">
        <v>15480</v>
      </c>
    </row>
    <row r="134" spans="1:5" ht="36" customHeight="1" x14ac:dyDescent="0.25">
      <c r="A134" s="128"/>
      <c r="B134" s="6" t="s">
        <v>3045</v>
      </c>
      <c r="C134" s="6" t="s">
        <v>3010</v>
      </c>
      <c r="D134" s="114" t="s">
        <v>15</v>
      </c>
      <c r="E134" s="15">
        <v>11610</v>
      </c>
    </row>
    <row r="135" spans="1:5" ht="33.75" customHeight="1" x14ac:dyDescent="0.25">
      <c r="A135" s="128">
        <f t="shared" si="10"/>
        <v>57</v>
      </c>
      <c r="B135" s="6" t="s">
        <v>2999</v>
      </c>
      <c r="C135" s="6" t="s">
        <v>777</v>
      </c>
      <c r="D135" s="114" t="s">
        <v>15</v>
      </c>
      <c r="E135" s="15">
        <v>19320</v>
      </c>
    </row>
    <row r="136" spans="1:5" ht="33.75" customHeight="1" x14ac:dyDescent="0.25">
      <c r="A136" s="128"/>
      <c r="B136" s="6" t="s">
        <v>3000</v>
      </c>
      <c r="C136" s="6" t="s">
        <v>777</v>
      </c>
      <c r="D136" s="114" t="s">
        <v>15</v>
      </c>
      <c r="E136" s="15">
        <v>14490</v>
      </c>
    </row>
    <row r="137" spans="1:5" ht="35.25" customHeight="1" x14ac:dyDescent="0.25">
      <c r="A137" s="128">
        <f t="shared" si="10"/>
        <v>58</v>
      </c>
      <c r="B137" s="6" t="s">
        <v>3006</v>
      </c>
      <c r="C137" s="6" t="s">
        <v>3007</v>
      </c>
      <c r="D137" s="114" t="s">
        <v>15</v>
      </c>
      <c r="E137" s="15">
        <v>19320</v>
      </c>
    </row>
    <row r="138" spans="1:5" ht="35.25" customHeight="1" x14ac:dyDescent="0.25">
      <c r="A138" s="128"/>
      <c r="B138" s="6" t="s">
        <v>3008</v>
      </c>
      <c r="C138" s="6" t="s">
        <v>3007</v>
      </c>
      <c r="D138" s="114" t="s">
        <v>15</v>
      </c>
      <c r="E138" s="15">
        <v>14490</v>
      </c>
    </row>
    <row r="139" spans="1:5" ht="31.5" x14ac:dyDescent="0.25">
      <c r="A139" s="128">
        <f t="shared" si="10"/>
        <v>59</v>
      </c>
      <c r="B139" s="6" t="s">
        <v>3009</v>
      </c>
      <c r="C139" s="6" t="s">
        <v>3010</v>
      </c>
      <c r="D139" s="114" t="s">
        <v>15</v>
      </c>
      <c r="E139" s="15">
        <v>15480</v>
      </c>
    </row>
    <row r="140" spans="1:5" ht="31.5" x14ac:dyDescent="0.25">
      <c r="A140" s="128"/>
      <c r="B140" s="6" t="s">
        <v>3011</v>
      </c>
      <c r="C140" s="6" t="s">
        <v>3010</v>
      </c>
      <c r="D140" s="114" t="s">
        <v>15</v>
      </c>
      <c r="E140" s="15">
        <v>11610</v>
      </c>
    </row>
    <row r="141" spans="1:5" ht="31.5" x14ac:dyDescent="0.25">
      <c r="A141" s="128">
        <f t="shared" si="10"/>
        <v>60</v>
      </c>
      <c r="B141" s="6" t="s">
        <v>3020</v>
      </c>
      <c r="C141" s="6" t="s">
        <v>777</v>
      </c>
      <c r="D141" s="114" t="s">
        <v>15</v>
      </c>
      <c r="E141" s="15">
        <v>25680</v>
      </c>
    </row>
    <row r="142" spans="1:5" ht="31.5" x14ac:dyDescent="0.25">
      <c r="A142" s="128"/>
      <c r="B142" s="6" t="s">
        <v>3021</v>
      </c>
      <c r="C142" s="6" t="s">
        <v>777</v>
      </c>
      <c r="D142" s="114" t="s">
        <v>15</v>
      </c>
      <c r="E142" s="15">
        <v>19260</v>
      </c>
    </row>
    <row r="143" spans="1:5" ht="31.5" x14ac:dyDescent="0.25">
      <c r="A143" s="128">
        <f t="shared" si="10"/>
        <v>61</v>
      </c>
      <c r="B143" s="6" t="s">
        <v>3109</v>
      </c>
      <c r="C143" s="6" t="s">
        <v>3110</v>
      </c>
      <c r="D143" s="114" t="s">
        <v>15</v>
      </c>
      <c r="E143" s="15">
        <v>19320</v>
      </c>
    </row>
    <row r="144" spans="1:5" ht="31.5" x14ac:dyDescent="0.25">
      <c r="A144" s="128"/>
      <c r="B144" s="6" t="s">
        <v>3111</v>
      </c>
      <c r="C144" s="6" t="s">
        <v>3110</v>
      </c>
      <c r="D144" s="114" t="s">
        <v>15</v>
      </c>
      <c r="E144" s="15">
        <v>14490</v>
      </c>
    </row>
    <row r="145" spans="1:5" ht="31.5" x14ac:dyDescent="0.25">
      <c r="A145" s="128">
        <f t="shared" si="10"/>
        <v>62</v>
      </c>
      <c r="B145" s="6" t="s">
        <v>3050</v>
      </c>
      <c r="C145" s="6" t="s">
        <v>3010</v>
      </c>
      <c r="D145" s="114" t="s">
        <v>15</v>
      </c>
      <c r="E145" s="15">
        <v>32160</v>
      </c>
    </row>
    <row r="146" spans="1:5" ht="31.5" x14ac:dyDescent="0.25">
      <c r="A146" s="128"/>
      <c r="B146" s="6" t="s">
        <v>3051</v>
      </c>
      <c r="C146" s="6" t="s">
        <v>2979</v>
      </c>
      <c r="D146" s="114" t="s">
        <v>15</v>
      </c>
      <c r="E146" s="15">
        <v>24120</v>
      </c>
    </row>
    <row r="147" spans="1:5" ht="31.5" x14ac:dyDescent="0.25">
      <c r="A147" s="128">
        <f t="shared" si="10"/>
        <v>63</v>
      </c>
      <c r="B147" s="6" t="s">
        <v>3118</v>
      </c>
      <c r="C147" s="6" t="s">
        <v>3092</v>
      </c>
      <c r="D147" s="114" t="s">
        <v>15</v>
      </c>
      <c r="E147" s="15">
        <v>19320</v>
      </c>
    </row>
    <row r="148" spans="1:5" ht="31.5" x14ac:dyDescent="0.25">
      <c r="A148" s="128"/>
      <c r="B148" s="6" t="s">
        <v>3119</v>
      </c>
      <c r="C148" s="6" t="s">
        <v>3092</v>
      </c>
      <c r="D148" s="114" t="s">
        <v>15</v>
      </c>
      <c r="E148" s="15">
        <v>14490</v>
      </c>
    </row>
    <row r="149" spans="1:5" ht="31.5" x14ac:dyDescent="0.25">
      <c r="A149" s="114">
        <f>A147+1</f>
        <v>64</v>
      </c>
      <c r="B149" s="6" t="s">
        <v>3052</v>
      </c>
      <c r="C149" s="6"/>
      <c r="D149" s="114" t="s">
        <v>15</v>
      </c>
      <c r="E149" s="15">
        <v>19320</v>
      </c>
    </row>
    <row r="150" spans="1:5" ht="31.5" x14ac:dyDescent="0.25">
      <c r="A150" s="114">
        <f>A149+1</f>
        <v>65</v>
      </c>
      <c r="B150" s="6" t="s">
        <v>3053</v>
      </c>
      <c r="C150" s="6"/>
      <c r="D150" s="114" t="s">
        <v>15</v>
      </c>
      <c r="E150" s="15">
        <v>25680</v>
      </c>
    </row>
    <row r="151" spans="1:5" ht="31.5" x14ac:dyDescent="0.25">
      <c r="A151" s="114">
        <f>A150+1</f>
        <v>66</v>
      </c>
      <c r="B151" s="6" t="s">
        <v>3054</v>
      </c>
      <c r="C151" s="6"/>
      <c r="D151" s="114" t="s">
        <v>15</v>
      </c>
      <c r="E151" s="15">
        <v>32160</v>
      </c>
    </row>
    <row r="153" spans="1:5" ht="31.5" x14ac:dyDescent="0.25">
      <c r="B153" s="16" t="s">
        <v>2952</v>
      </c>
      <c r="C153" s="1"/>
      <c r="D153" s="126" t="s">
        <v>2953</v>
      </c>
      <c r="E153" s="126"/>
    </row>
    <row r="154" spans="1:5" ht="39.75" customHeight="1" x14ac:dyDescent="0.25">
      <c r="B154" s="16" t="s">
        <v>2954</v>
      </c>
      <c r="C154" s="1"/>
      <c r="D154" s="126" t="s">
        <v>2955</v>
      </c>
      <c r="E154" s="126"/>
    </row>
    <row r="155" spans="1:5" ht="37.5" customHeight="1" x14ac:dyDescent="0.25">
      <c r="B155" s="16" t="s">
        <v>2956</v>
      </c>
      <c r="C155" s="113"/>
      <c r="D155" s="126" t="s">
        <v>3066</v>
      </c>
      <c r="E155" s="126"/>
    </row>
  </sheetData>
  <mergeCells count="84">
    <mergeCell ref="D153:E153"/>
    <mergeCell ref="D154:E154"/>
    <mergeCell ref="D155:E155"/>
    <mergeCell ref="A27:A28"/>
    <mergeCell ref="A49:A50"/>
    <mergeCell ref="A67:A68"/>
    <mergeCell ref="A45:A46"/>
    <mergeCell ref="A47:A48"/>
    <mergeCell ref="A51:A52"/>
    <mergeCell ref="A53:A54"/>
    <mergeCell ref="A55:A56"/>
    <mergeCell ref="A59:A60"/>
    <mergeCell ref="A61:A62"/>
    <mergeCell ref="A63:A64"/>
    <mergeCell ref="A65:A66"/>
    <mergeCell ref="A41:A42"/>
    <mergeCell ref="B11:E11"/>
    <mergeCell ref="A19:E19"/>
    <mergeCell ref="A18:D18"/>
    <mergeCell ref="B15:E15"/>
    <mergeCell ref="B13:E13"/>
    <mergeCell ref="B12:E12"/>
    <mergeCell ref="B20:B21"/>
    <mergeCell ref="A43:A44"/>
    <mergeCell ref="A22:D22"/>
    <mergeCell ref="A23:A24"/>
    <mergeCell ref="A25:A26"/>
    <mergeCell ref="A29:A30"/>
    <mergeCell ref="A31:A32"/>
    <mergeCell ref="A33:A34"/>
    <mergeCell ref="A35:A36"/>
    <mergeCell ref="C20:E20"/>
    <mergeCell ref="A37:A38"/>
    <mergeCell ref="A39:A40"/>
    <mergeCell ref="A83:A84"/>
    <mergeCell ref="A73:A74"/>
    <mergeCell ref="A75:A76"/>
    <mergeCell ref="A93:A94"/>
    <mergeCell ref="A20:A21"/>
    <mergeCell ref="B1:E1"/>
    <mergeCell ref="B9:E9"/>
    <mergeCell ref="A7:E7"/>
    <mergeCell ref="B6:E6"/>
    <mergeCell ref="B5:E5"/>
    <mergeCell ref="A3:E3"/>
    <mergeCell ref="A4:E4"/>
    <mergeCell ref="A2:E2"/>
    <mergeCell ref="A105:A106"/>
    <mergeCell ref="A107:A108"/>
    <mergeCell ref="A95:A96"/>
    <mergeCell ref="A99:A100"/>
    <mergeCell ref="A101:A102"/>
    <mergeCell ref="A97:A98"/>
    <mergeCell ref="A69:A70"/>
    <mergeCell ref="A71:A72"/>
    <mergeCell ref="A77:A78"/>
    <mergeCell ref="A79:A80"/>
    <mergeCell ref="A103:A104"/>
    <mergeCell ref="A81:A82"/>
    <mergeCell ref="A85:A86"/>
    <mergeCell ref="A87:A88"/>
    <mergeCell ref="A89:A90"/>
    <mergeCell ref="A147:A148"/>
    <mergeCell ref="A133:A134"/>
    <mergeCell ref="A135:A136"/>
    <mergeCell ref="A137:A138"/>
    <mergeCell ref="A139:A140"/>
    <mergeCell ref="A141:A142"/>
    <mergeCell ref="A57:A58"/>
    <mergeCell ref="A109:A110"/>
    <mergeCell ref="A115:A116"/>
    <mergeCell ref="A143:A144"/>
    <mergeCell ref="A145:A146"/>
    <mergeCell ref="A121:A122"/>
    <mergeCell ref="A125:A126"/>
    <mergeCell ref="A127:A128"/>
    <mergeCell ref="A129:A130"/>
    <mergeCell ref="A131:A132"/>
    <mergeCell ref="A123:A124"/>
    <mergeCell ref="A111:A112"/>
    <mergeCell ref="A113:A114"/>
    <mergeCell ref="A117:A118"/>
    <mergeCell ref="A119:A120"/>
    <mergeCell ref="A91:A92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Страховой</vt:lpstr>
      <vt:lpstr>востребовынные страховых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2026-04-27T10:02:15Z</dcterms:modified>
</cp:coreProperties>
</file>